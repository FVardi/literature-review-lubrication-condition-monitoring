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xercise Library" sheetId="2" state="visible" r:id="rId4"/>
    <sheet name="Workout Log" sheetId="3" state="visible" r:id="rId5"/>
    <sheet name="Pattern Tracker" sheetId="4" state="visible" r:id="rId6"/>
    <sheet name="Need Vector" sheetId="5" state="visible" r:id="rId7"/>
    <sheet name="Confi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<sst xmlns="http://schemas.openxmlformats.org/spreadsheetml/2006/main" count="656" uniqueCount="249">
  <si>
    <t xml:space="preserve">WORKOUT PROGRAMMING DASHBOARD</t>
  </si>
  <si>
    <t xml:space="preserve">Overview of training balance, gaps, and suggested exercises</t>
  </si>
  <si>
    <t xml:space="preserve">KEY METRICS</t>
  </si>
  <si>
    <t xml:space="preserve">PATTERN BALANCE (Last 7 Days)</t>
  </si>
  <si>
    <t xml:space="preserve">Total Workouts (30d)</t>
  </si>
  <si>
    <t xml:space="preserve">Pattern</t>
  </si>
  <si>
    <t xml:space="preserve">Count</t>
  </si>
  <si>
    <t xml:space="preserve">Target</t>
  </si>
  <si>
    <t xml:space="preserve">Status</t>
  </si>
  <si>
    <t xml:space="preserve">Total Workouts (7d)</t>
  </si>
  <si>
    <t xml:space="preserve">Avg Duration (min)</t>
  </si>
  <si>
    <t xml:space="preserve">Avg RPE (30d)</t>
  </si>
  <si>
    <t xml:space="preserve">Biggest Deficit Pattern</t>
  </si>
  <si>
    <t xml:space="preserve">Max Deficit Score</t>
  </si>
  <si>
    <t xml:space="preserve">TOP 10 RECOMMENDED EXERCISES</t>
  </si>
  <si>
    <t xml:space="preserve">Rank</t>
  </si>
  <si>
    <t xml:space="preserve">Exercise</t>
  </si>
  <si>
    <t xml:space="preserve">Coverage Score</t>
  </si>
  <si>
    <t xml:space="preserve">EXERCISE LIBRARY</t>
  </si>
  <si>
    <t xml:space="preserve">Master list of exercises with movement pattern classifications</t>
  </si>
  <si>
    <t xml:space="preserve">Exercise ID</t>
  </si>
  <si>
    <t xml:space="preserve">Exercise Name</t>
  </si>
  <si>
    <t xml:space="preserve">Primary Pattern</t>
  </si>
  <si>
    <t xml:space="preserve">Secondary Pattern</t>
  </si>
  <si>
    <t xml:space="preserve">Equipment</t>
  </si>
  <si>
    <t xml:space="preserve">Load Type</t>
  </si>
  <si>
    <t xml:space="preserve">Laterality</t>
  </si>
  <si>
    <t xml:space="preserve">Energy System</t>
  </si>
  <si>
    <t xml:space="preserve">Complexity</t>
  </si>
  <si>
    <t xml:space="preserve">Notes</t>
  </si>
  <si>
    <t xml:space="preserve">EX001</t>
  </si>
  <si>
    <t xml:space="preserve">Back Squat</t>
  </si>
  <si>
    <t xml:space="preserve">Squat</t>
  </si>
  <si>
    <t xml:space="preserve">Barbell</t>
  </si>
  <si>
    <t xml:space="preserve">Heavy</t>
  </si>
  <si>
    <t xml:space="preserve">Bilateral</t>
  </si>
  <si>
    <t xml:space="preserve">Phosphagen</t>
  </si>
  <si>
    <t xml:space="preserve">Low</t>
  </si>
  <si>
    <t xml:space="preserve">EX002</t>
  </si>
  <si>
    <t xml:space="preserve">Front Squat</t>
  </si>
  <si>
    <t xml:space="preserve">Medium</t>
  </si>
  <si>
    <t xml:space="preserve">EX003</t>
  </si>
  <si>
    <t xml:space="preserve">Overhead Squat</t>
  </si>
  <si>
    <t xml:space="preserve">Push (Vertical)</t>
  </si>
  <si>
    <t xml:space="preserve">Moderate</t>
  </si>
  <si>
    <t xml:space="preserve">High</t>
  </si>
  <si>
    <t xml:space="preserve">EX004</t>
  </si>
  <si>
    <t xml:space="preserve">Air Squat</t>
  </si>
  <si>
    <t xml:space="preserve">Bodyweight</t>
  </si>
  <si>
    <t xml:space="preserve">Mixed</t>
  </si>
  <si>
    <t xml:space="preserve">EX005</t>
  </si>
  <si>
    <t xml:space="preserve">Pistol Squat</t>
  </si>
  <si>
    <t xml:space="preserve">Midline</t>
  </si>
  <si>
    <t xml:space="preserve">Unilateral</t>
  </si>
  <si>
    <t xml:space="preserve">EX006</t>
  </si>
  <si>
    <t xml:space="preserve">Wall Ball</t>
  </si>
  <si>
    <t xml:space="preserve">Medicine Ball</t>
  </si>
  <si>
    <t xml:space="preserve">Light</t>
  </si>
  <si>
    <t xml:space="preserve">Glycolytic</t>
  </si>
  <si>
    <t xml:space="preserve">EX007</t>
  </si>
  <si>
    <t xml:space="preserve">Thruster</t>
  </si>
  <si>
    <t xml:space="preserve">EX008</t>
  </si>
  <si>
    <t xml:space="preserve">Deadlift</t>
  </si>
  <si>
    <t xml:space="preserve">Hinge</t>
  </si>
  <si>
    <t xml:space="preserve">EX009</t>
  </si>
  <si>
    <t xml:space="preserve">Romanian Deadlift</t>
  </si>
  <si>
    <t xml:space="preserve">EX010</t>
  </si>
  <si>
    <t xml:space="preserve">Kettlebell Swing</t>
  </si>
  <si>
    <t xml:space="preserve">Kettlebell</t>
  </si>
  <si>
    <t xml:space="preserve">EX011</t>
  </si>
  <si>
    <t xml:space="preserve">GHD Hip Extension</t>
  </si>
  <si>
    <t xml:space="preserve">Machine</t>
  </si>
  <si>
    <t xml:space="preserve">EX012</t>
  </si>
  <si>
    <t xml:space="preserve">Single-Leg RDL</t>
  </si>
  <si>
    <t xml:space="preserve">Dumbbell</t>
  </si>
  <si>
    <t xml:space="preserve">EX013</t>
  </si>
  <si>
    <t xml:space="preserve">Strict Press</t>
  </si>
  <si>
    <t xml:space="preserve">EX014</t>
  </si>
  <si>
    <t xml:space="preserve">Push Press</t>
  </si>
  <si>
    <t xml:space="preserve">EX015</t>
  </si>
  <si>
    <t xml:space="preserve">Push Jerk</t>
  </si>
  <si>
    <t xml:space="preserve">EX016</t>
  </si>
  <si>
    <t xml:space="preserve">Handstand Push-Up</t>
  </si>
  <si>
    <t xml:space="preserve">EX017</t>
  </si>
  <si>
    <t xml:space="preserve">Bench Press</t>
  </si>
  <si>
    <t xml:space="preserve">Push (Horizontal)</t>
  </si>
  <si>
    <t xml:space="preserve">EX018</t>
  </si>
  <si>
    <t xml:space="preserve">Push-Up</t>
  </si>
  <si>
    <t xml:space="preserve">EX019</t>
  </si>
  <si>
    <t xml:space="preserve">Ring Dip</t>
  </si>
  <si>
    <t xml:space="preserve">Rig/Bar</t>
  </si>
  <si>
    <t xml:space="preserve">EX020</t>
  </si>
  <si>
    <t xml:space="preserve">Pull-Up</t>
  </si>
  <si>
    <t xml:space="preserve">Pull (Vertical)</t>
  </si>
  <si>
    <t xml:space="preserve">EX021</t>
  </si>
  <si>
    <t xml:space="preserve">Chest-to-Bar Pull-Up</t>
  </si>
  <si>
    <t xml:space="preserve">EX022</t>
  </si>
  <si>
    <t xml:space="preserve">Muscle-Up (Bar)</t>
  </si>
  <si>
    <t xml:space="preserve">EX023</t>
  </si>
  <si>
    <t xml:space="preserve">Muscle-Up (Ring)</t>
  </si>
  <si>
    <t xml:space="preserve">EX024</t>
  </si>
  <si>
    <t xml:space="preserve">Toes-to-Bar</t>
  </si>
  <si>
    <t xml:space="preserve">EX025</t>
  </si>
  <si>
    <t xml:space="preserve">Barbell Row</t>
  </si>
  <si>
    <t xml:space="preserve">Pull (Horizontal)</t>
  </si>
  <si>
    <t xml:space="preserve">EX026</t>
  </si>
  <si>
    <t xml:space="preserve">Ring Row</t>
  </si>
  <si>
    <t xml:space="preserve">EX027</t>
  </si>
  <si>
    <t xml:space="preserve">Snatch</t>
  </si>
  <si>
    <t xml:space="preserve">Olympic - Snatch</t>
  </si>
  <si>
    <t xml:space="preserve">EX028</t>
  </si>
  <si>
    <t xml:space="preserve">Power Snatch</t>
  </si>
  <si>
    <t xml:space="preserve">EX029</t>
  </si>
  <si>
    <t xml:space="preserve">Snatch Pull</t>
  </si>
  <si>
    <t xml:space="preserve">EX030</t>
  </si>
  <si>
    <t xml:space="preserve">Hang Snatch</t>
  </si>
  <si>
    <t xml:space="preserve">EX031</t>
  </si>
  <si>
    <t xml:space="preserve">Clean</t>
  </si>
  <si>
    <t xml:space="preserve">Olympic - Clean</t>
  </si>
  <si>
    <t xml:space="preserve">EX032</t>
  </si>
  <si>
    <t xml:space="preserve">Power Clean</t>
  </si>
  <si>
    <t xml:space="preserve">EX033</t>
  </si>
  <si>
    <t xml:space="preserve">Hang Clean</t>
  </si>
  <si>
    <t xml:space="preserve">EX034</t>
  </si>
  <si>
    <t xml:space="preserve">Clean Pull</t>
  </si>
  <si>
    <t xml:space="preserve">EX035</t>
  </si>
  <si>
    <t xml:space="preserve">Split Jerk</t>
  </si>
  <si>
    <t xml:space="preserve">Olympic - Jerk</t>
  </si>
  <si>
    <t xml:space="preserve">EX036</t>
  </si>
  <si>
    <t xml:space="preserve">Clean &amp; Jerk</t>
  </si>
  <si>
    <t xml:space="preserve">EX037</t>
  </si>
  <si>
    <t xml:space="preserve">Running</t>
  </si>
  <si>
    <t xml:space="preserve">Monostructural</t>
  </si>
  <si>
    <t xml:space="preserve">None</t>
  </si>
  <si>
    <t xml:space="preserve">Oxidative</t>
  </si>
  <si>
    <t xml:space="preserve">EX038</t>
  </si>
  <si>
    <t xml:space="preserve">Rowing</t>
  </si>
  <si>
    <t xml:space="preserve">Rower</t>
  </si>
  <si>
    <t xml:space="preserve">Variable</t>
  </si>
  <si>
    <t xml:space="preserve">EX039</t>
  </si>
  <si>
    <t xml:space="preserve">Assault Bike</t>
  </si>
  <si>
    <t xml:space="preserve">Bike</t>
  </si>
  <si>
    <t xml:space="preserve">EX040</t>
  </si>
  <si>
    <t xml:space="preserve">Ski Erg</t>
  </si>
  <si>
    <t xml:space="preserve">EX041</t>
  </si>
  <si>
    <t xml:space="preserve">Double-Unders</t>
  </si>
  <si>
    <t xml:space="preserve">Jump Rope</t>
  </si>
  <si>
    <t xml:space="preserve">EX042</t>
  </si>
  <si>
    <t xml:space="preserve">GHD Sit-Up</t>
  </si>
  <si>
    <t xml:space="preserve">EX043</t>
  </si>
  <si>
    <t xml:space="preserve">L-Sit</t>
  </si>
  <si>
    <t xml:space="preserve">EX044</t>
  </si>
  <si>
    <t xml:space="preserve">Plank</t>
  </si>
  <si>
    <t xml:space="preserve">EX045</t>
  </si>
  <si>
    <t xml:space="preserve">Farmer's Carry</t>
  </si>
  <si>
    <t xml:space="preserve">Loaded Carry</t>
  </si>
  <si>
    <t xml:space="preserve">EX046</t>
  </si>
  <si>
    <t xml:space="preserve">Overhead Carry</t>
  </si>
  <si>
    <t xml:space="preserve">EX047</t>
  </si>
  <si>
    <t xml:space="preserve">Front Rack Carry</t>
  </si>
  <si>
    <t xml:space="preserve">EX048</t>
  </si>
  <si>
    <t xml:space="preserve">Sled Push</t>
  </si>
  <si>
    <t xml:space="preserve">Sled</t>
  </si>
  <si>
    <t xml:space="preserve">EX049</t>
  </si>
  <si>
    <t xml:space="preserve">Box Jump</t>
  </si>
  <si>
    <t xml:space="preserve">Plyometric</t>
  </si>
  <si>
    <t xml:space="preserve">EX050</t>
  </si>
  <si>
    <t xml:space="preserve">Rope Climb</t>
  </si>
  <si>
    <t xml:space="preserve">EX051</t>
  </si>
  <si>
    <t xml:space="preserve">Burpee</t>
  </si>
  <si>
    <t xml:space="preserve">EX052</t>
  </si>
  <si>
    <t xml:space="preserve">DB Snatch</t>
  </si>
  <si>
    <t xml:space="preserve">EX053</t>
  </si>
  <si>
    <t xml:space="preserve">Turkish Get-Up</t>
  </si>
  <si>
    <t xml:space="preserve">EX054</t>
  </si>
  <si>
    <t xml:space="preserve">Sandbag Clean</t>
  </si>
  <si>
    <t xml:space="preserve">Sandbag</t>
  </si>
  <si>
    <t xml:space="preserve">EX055</t>
  </si>
  <si>
    <t xml:space="preserve">Strict Pull-Up</t>
  </si>
  <si>
    <t xml:space="preserve">EX056</t>
  </si>
  <si>
    <t xml:space="preserve">Lunge</t>
  </si>
  <si>
    <t xml:space="preserve">EX057</t>
  </si>
  <si>
    <t xml:space="preserve">Walking Lunge (Barbell)</t>
  </si>
  <si>
    <t xml:space="preserve">EX058</t>
  </si>
  <si>
    <t xml:space="preserve">Sumo Deadlift High Pull</t>
  </si>
  <si>
    <t xml:space="preserve">EX059</t>
  </si>
  <si>
    <t xml:space="preserve">Handstand Walk</t>
  </si>
  <si>
    <t xml:space="preserve">EX060</t>
  </si>
  <si>
    <t xml:space="preserve">Echo Bike</t>
  </si>
  <si>
    <t xml:space="preserve">WORKOUT LOG</t>
  </si>
  <si>
    <t xml:space="preserve">Log each workout. Pick exercises from the Exercise Library dropdown.</t>
  </si>
  <si>
    <t xml:space="preserve">Date</t>
  </si>
  <si>
    <t xml:space="preserve">Workout ID</t>
  </si>
  <si>
    <t xml:space="preserve">Workout Type</t>
  </si>
  <si>
    <t xml:space="preserve">WOD Format</t>
  </si>
  <si>
    <t xml:space="preserve">Duration (min)</t>
  </si>
  <si>
    <t xml:space="preserve">Exercise 1</t>
  </si>
  <si>
    <t xml:space="preserve">Exercise 2</t>
  </si>
  <si>
    <t xml:space="preserve">Exercise 3</t>
  </si>
  <si>
    <t xml:space="preserve">Exercise 4</t>
  </si>
  <si>
    <t xml:space="preserve">Exercise 5</t>
  </si>
  <si>
    <t xml:space="preserve">Exercise 6</t>
  </si>
  <si>
    <t xml:space="preserve">Exercise 7</t>
  </si>
  <si>
    <t xml:space="preserve">Exercise 8</t>
  </si>
  <si>
    <t xml:space="preserve">Score/Result</t>
  </si>
  <si>
    <t xml:space="preserve">RPE (1-10)</t>
  </si>
  <si>
    <t xml:space="preserve">MOVEMENT PATTERN TRACKER</t>
  </si>
  <si>
    <t xml:space="preserve">Counts how often each movement pattern appears in your log (last 7, 14, 30 days)</t>
  </si>
  <si>
    <t xml:space="preserve">Today's Date:</t>
  </si>
  <si>
    <t xml:space="preserve">Movement Pattern</t>
  </si>
  <si>
    <t xml:space="preserve">Last 7 Days</t>
  </si>
  <si>
    <t xml:space="preserve">Last 14 Days</t>
  </si>
  <si>
    <t xml:space="preserve">Last 30 Days</t>
  </si>
  <si>
    <t xml:space="preserve">Total (All Time)</t>
  </si>
  <si>
    <t xml:space="preserve">Days Since Last</t>
  </si>
  <si>
    <t xml:space="preserve">Ideal Freq / 7d</t>
  </si>
  <si>
    <t xml:space="preserve">Deficit Score</t>
  </si>
  <si>
    <t xml:space="preserve">Accessory</t>
  </si>
  <si>
    <t xml:space="preserve">NEED VECTOR &amp; EXERCISE SCORING</t>
  </si>
  <si>
    <t xml:space="preserve">Each exercise scored by how well it covers your current movement pattern deficits</t>
  </si>
  <si>
    <t xml:space="preserve">CURRENT NEED VECTOR</t>
  </si>
  <si>
    <t xml:space="preserve">Pattern Dimension</t>
  </si>
  <si>
    <t xml:space="preserve">Weight (normalized)</t>
  </si>
  <si>
    <t xml:space="preserve">TOTAL</t>
  </si>
  <si>
    <t xml:space="preserve">EXERCISE COVERAGE SCORES</t>
  </si>
  <si>
    <t xml:space="preserve">Primary Pattern Match</t>
  </si>
  <si>
    <t xml:space="preserve">Secondary Pattern Match</t>
  </si>
  <si>
    <t xml:space="preserve">CONFIGURATION &amp; REFERENCE</t>
  </si>
  <si>
    <t xml:space="preserve">Movement Patterns</t>
  </si>
  <si>
    <t xml:space="preserve">WOD Formats</t>
  </si>
  <si>
    <t xml:space="preserve">Energy Systems</t>
  </si>
  <si>
    <t xml:space="preserve">For Time</t>
  </si>
  <si>
    <t xml:space="preserve">AMRAP</t>
  </si>
  <si>
    <t xml:space="preserve">EMOM</t>
  </si>
  <si>
    <t xml:space="preserve">Rounds + Reps</t>
  </si>
  <si>
    <t xml:space="preserve">Heavy Single</t>
  </si>
  <si>
    <t xml:space="preserve">Rep Scheme</t>
  </si>
  <si>
    <t xml:space="preserve">Tabata</t>
  </si>
  <si>
    <t xml:space="preserve">Chipper</t>
  </si>
  <si>
    <t xml:space="preserve">Ladder</t>
  </si>
  <si>
    <t xml:space="preserve">Other</t>
  </si>
  <si>
    <t xml:space="preserve">HOW TO USE</t>
  </si>
  <si>
    <t xml:space="preserve">1. Add your exercises to the Exercise Library tab (or use the pre-loaded ones)</t>
  </si>
  <si>
    <t xml:space="preserve">2. Log each workout in the Workout Log tab - pick exercises from the dropdown</t>
  </si>
  <si>
    <t xml:space="preserve">3. The Pattern Tracker automatically counts pattern frequency over rolling windows</t>
  </si>
  <si>
    <t xml:space="preserve">4. Adjust the "Ideal Freq / 7d" column in Pattern Tracker to your programming goals</t>
  </si>
  <si>
    <t xml:space="preserve">5. The Need Vector tab scores every exercise by how well it fills your gaps</t>
  </si>
  <si>
    <t xml:space="preserve">6. The Dashboard shows your top recommendations and overall balance</t>
  </si>
  <si>
    <t xml:space="preserve">7. To add new pattern dimensions: add rows to Pattern Tracker and Config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</si>
</sst>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E44AD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6213E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6213E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5EEF8"/>
        <bgColor rgb="FFF5F5F5"/>
      </patternFill>
    </fill>
    <fill>
      <patternFill patternType="solid">
        <fgColor rgb="FF27AE60"/>
        <bgColor rgb="FF2E7D32"/>
      </patternFill>
    </fill>
    <fill>
      <patternFill patternType="solid">
        <fgColor rgb="FFF5F5F5"/>
        <bgColor rgb="FFF5EEF8"/>
      </patternFill>
    </fill>
    <fill>
      <patternFill patternType="solid">
        <fgColor rgb="FF16213E"/>
        <bgColor rgb="FF0F3460"/>
      </patternFill>
    </fill>
    <fill>
      <patternFill patternType="solid">
        <fgColor rgb="FFFFFFFF"/>
        <bgColor rgb="FFF5F5F5"/>
      </patternFill>
    </fill>
    <fill>
      <patternFill patternType="solid">
        <fgColor rgb="FFE8F0FE"/>
        <bgColor rgb="FFF5EEF8"/>
      </patternFill>
    </fill>
    <fill>
      <patternFill patternType="solid">
        <fgColor rgb="FFFDEDEC"/>
        <bgColor rgb="FFF5EEF8"/>
      </patternFill>
    </fill>
    <fill>
      <patternFill patternType="solid">
        <fgColor rgb="FFD5F5E3"/>
        <bgColor rgb="FFE8F0FE"/>
      </patternFill>
    </fill>
    <fill>
      <patternFill patternType="solid">
        <fgColor rgb="FFFFF9C4"/>
        <bgColor rgb="FFFD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62828"/>
      </font>
      <fill>
        <patternFill>
          <bgColor rgb="FFFFCDD2"/>
        </patternFill>
      </fill>
    </dxf>
    <dxf>
      <font>
        <b val="1"/>
        <color rgb="FFE65100"/>
      </font>
      <fill>
        <patternFill>
          <bgColor rgb="FFFFE0B2"/>
        </patternFill>
      </fill>
    </dxf>
    <dxf>
      <font>
        <b val="1"/>
        <color rgb="FF2E7D32"/>
      </font>
      <fill>
        <patternFill>
          <bgColor rgb="FFD5F5E3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  <dxf>
      <fill>
        <patternFill>
          <bgColor rgb="FFD5F5E3"/>
        </patternFill>
      </fill>
    </dxf>
    <dxf>
      <fill>
        <patternFill>
          <bgColor rgb="FFFFF9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32"/>
      <rgbColor rgb="FFCCCCCC"/>
      <rgbColor rgb="FF808080"/>
      <rgbColor rgb="FF9999FF"/>
      <rgbColor rgb="FF8E44AD"/>
      <rgbColor rgb="FFFFF9C4"/>
      <rgbColor rgb="FFE8F0FE"/>
      <rgbColor rgb="FF660066"/>
      <rgbColor rgb="FFE74C3C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DEDEC"/>
      <rgbColor rgb="FFF5EEF8"/>
      <rgbColor rgb="FFFF99CC"/>
      <rgbColor rgb="FFCC99FF"/>
      <rgbColor rgb="FFFFE0B2"/>
      <rgbColor rgb="FF3366FF"/>
      <rgbColor rgb="FF33CCCC"/>
      <rgbColor rgb="FF99CC00"/>
      <rgbColor rgb="FFFFCC00"/>
      <rgbColor rgb="FFF39C12"/>
      <rgbColor rgb="FFE65100"/>
      <rgbColor rgb="FF666666"/>
      <rgbColor rgb="FF95A5A6"/>
      <rgbColor rgb="FF0F3460"/>
      <rgbColor rgb="FF27AE60"/>
      <rgbColor rgb="FF003300"/>
      <rgbColor rgb="FF333300"/>
      <rgbColor rgb="FFC62828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5" style="0" width="22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E4" s="4" t="s">
        <v>3</v>
      </c>
      <c r="F4" s="4"/>
      <c r="G4" s="4"/>
      <c r="H4" s="4"/>
    </row>
    <row r="5" customFormat="false" ht="15" hidden="false" customHeight="false" outlineLevel="0" collapsed="false">
      <c r="A5" s="5" t="s">
        <v>4</v>
      </c>
      <c r="B5" s="5" t="n">
        <f aca="true">COUNTIF('Workout Log'!A4:A500,"&gt;="&amp;TODAY()-30)</f>
        <v>0</v>
      </c>
      <c r="C5" s="5"/>
      <c r="D5" s="5"/>
      <c r="E5" s="6" t="s">
        <v>5</v>
      </c>
      <c r="F5" s="6" t="s">
        <v>6</v>
      </c>
      <c r="G5" s="6" t="s">
        <v>7</v>
      </c>
      <c r="H5" s="6" t="s">
        <v>8</v>
      </c>
    </row>
    <row r="6" customFormat="false" ht="15" hidden="false" customHeight="false" outlineLevel="0" collapsed="false">
      <c r="A6" s="7" t="s">
        <v>9</v>
      </c>
      <c r="B6" s="8" t="n">
        <f aca="true">COUNTIF('Workout Log'!A4:A500,"&gt;="&amp;TODAY()-7)</f>
        <v>0</v>
      </c>
      <c r="E6" s="9" t="str">
        <f aca="false">'Pattern Tracker'!A7</f>
        <v>Squat</v>
      </c>
      <c r="F6" s="10" t="n">
        <f aca="false">'Pattern Tracker'!B7</f>
        <v>0</v>
      </c>
      <c r="G6" s="10" t="n">
        <f aca="false">'Pattern Tracker'!G7</f>
        <v>2</v>
      </c>
      <c r="H6" s="11" t="str">
        <f aca="false">IF('Pattern Tracker'!H7=0,"OK",IF('Pattern Tracker'!H7&gt;=2,"DEFICIT","LOW"))</f>
        <v>DEFICIT</v>
      </c>
    </row>
    <row r="7" customFormat="false" ht="15" hidden="false" customHeight="false" outlineLevel="0" collapsed="false">
      <c r="A7" s="7" t="s">
        <v>10</v>
      </c>
      <c r="B7" s="12" t="n">
        <f aca="true">IFERROR(AVERAGEIFS('Workout Log'!E4:E500,'Workout Log'!A4:A500,"&gt;="&amp;TODAY()-30),0)</f>
        <v>0</v>
      </c>
      <c r="E7" s="9" t="str">
        <f aca="false">'Pattern Tracker'!A8</f>
        <v>Hinge</v>
      </c>
      <c r="F7" s="10" t="n">
        <f aca="false">'Pattern Tracker'!B8</f>
        <v>0</v>
      </c>
      <c r="G7" s="10" t="n">
        <f aca="false">'Pattern Tracker'!G8</f>
        <v>2</v>
      </c>
      <c r="H7" s="11" t="str">
        <f aca="false">IF('Pattern Tracker'!H8=0,"OK",IF('Pattern Tracker'!H8&gt;=2,"DEFICIT","LOW"))</f>
        <v>DEFICIT</v>
      </c>
    </row>
    <row r="8" customFormat="false" ht="15" hidden="false" customHeight="false" outlineLevel="0" collapsed="false">
      <c r="A8" s="7" t="s">
        <v>11</v>
      </c>
      <c r="B8" s="12" t="n">
        <f aca="true">IFERROR(AVERAGEIFS('Workout Log'!O4:O500,'Workout Log'!A4:A500,"&gt;="&amp;TODAY()-30),0)</f>
        <v>0</v>
      </c>
      <c r="E8" s="9" t="str">
        <f aca="false">'Pattern Tracker'!A9</f>
        <v>Push (Horizontal)</v>
      </c>
      <c r="F8" s="10" t="n">
        <f aca="false">'Pattern Tracker'!B9</f>
        <v>0</v>
      </c>
      <c r="G8" s="10" t="n">
        <f aca="false">'Pattern Tracker'!G9</f>
        <v>2</v>
      </c>
      <c r="H8" s="11" t="str">
        <f aca="false">IF('Pattern Tracker'!H9=0,"OK",IF('Pattern Tracker'!H9&gt;=2,"DEFICIT","LOW"))</f>
        <v>DEFICIT</v>
      </c>
    </row>
    <row r="9" customFormat="false" ht="15" hidden="false" customHeight="false" outlineLevel="0" collapsed="false">
      <c r="A9" s="7" t="s">
        <v>12</v>
      </c>
      <c r="B9" s="8" t="str">
        <f aca="false">IFERROR(INDEX('Pattern Tracker'!A7:A20,MATCH(MAX('Pattern Tracker'!H7:H20),'Pattern Tracker'!H7:H20,0)),"None")</f>
        <v>Squat</v>
      </c>
      <c r="E9" s="9" t="str">
        <f aca="false">'Pattern Tracker'!A10</f>
        <v>Push (Vertical)</v>
      </c>
      <c r="F9" s="10" t="n">
        <f aca="false">'Pattern Tracker'!B10</f>
        <v>0</v>
      </c>
      <c r="G9" s="10" t="n">
        <f aca="false">'Pattern Tracker'!G10</f>
        <v>2</v>
      </c>
      <c r="H9" s="11" t="str">
        <f aca="false">IF('Pattern Tracker'!H10=0,"OK",IF('Pattern Tracker'!H10&gt;=2,"DEFICIT","LOW"))</f>
        <v>DEFICIT</v>
      </c>
    </row>
    <row r="10" customFormat="false" ht="15" hidden="false" customHeight="false" outlineLevel="0" collapsed="false">
      <c r="A10" s="7" t="s">
        <v>13</v>
      </c>
      <c r="B10" s="8" t="n">
        <f aca="false">MAX('Pattern Tracker'!H7:H20)</f>
        <v>2</v>
      </c>
      <c r="E10" s="9" t="str">
        <f aca="false">'Pattern Tracker'!A11</f>
        <v>Pull (Horizontal)</v>
      </c>
      <c r="F10" s="10" t="n">
        <f aca="false">'Pattern Tracker'!B11</f>
        <v>0</v>
      </c>
      <c r="G10" s="10" t="n">
        <f aca="false">'Pattern Tracker'!G11</f>
        <v>2</v>
      </c>
      <c r="H10" s="11" t="str">
        <f aca="false">IF('Pattern Tracker'!H11=0,"OK",IF('Pattern Tracker'!H11&gt;=2,"DEFICIT","LOW"))</f>
        <v>DEFICIT</v>
      </c>
    </row>
    <row r="11" customFormat="false" ht="15" hidden="false" customHeight="false" outlineLevel="0" collapsed="false">
      <c r="E11" s="9" t="str">
        <f aca="false">'Pattern Tracker'!A12</f>
        <v>Pull (Vertical)</v>
      </c>
      <c r="F11" s="10" t="n">
        <f aca="false">'Pattern Tracker'!B12</f>
        <v>0</v>
      </c>
      <c r="G11" s="10" t="n">
        <f aca="false">'Pattern Tracker'!G12</f>
        <v>2</v>
      </c>
      <c r="H11" s="11" t="str">
        <f aca="false">IF('Pattern Tracker'!H12=0,"OK",IF('Pattern Tracker'!H12&gt;=2,"DEFICIT","LOW"))</f>
        <v>DEFICIT</v>
      </c>
    </row>
    <row r="12" customFormat="false" ht="15" hidden="false" customHeight="false" outlineLevel="0" collapsed="false">
      <c r="E12" s="9" t="str">
        <f aca="false">'Pattern Tracker'!A13</f>
        <v>Olympic - Snatch</v>
      </c>
      <c r="F12" s="10" t="n">
        <f aca="false">'Pattern Tracker'!B13</f>
        <v>0</v>
      </c>
      <c r="G12" s="10" t="n">
        <f aca="false">'Pattern Tracker'!G13</f>
        <v>2</v>
      </c>
      <c r="H12" s="11" t="str">
        <f aca="false">IF('Pattern Tracker'!H13=0,"OK",IF('Pattern Tracker'!H13&gt;=2,"DEFICIT","LOW"))</f>
        <v>DEFICIT</v>
      </c>
    </row>
    <row r="13" customFormat="false" ht="15" hidden="false" customHeight="false" outlineLevel="0" collapsed="false">
      <c r="A13" s="4" t="s">
        <v>14</v>
      </c>
      <c r="B13" s="4"/>
      <c r="C13" s="4"/>
      <c r="E13" s="9" t="str">
        <f aca="false">'Pattern Tracker'!A14</f>
        <v>Olympic - Clean</v>
      </c>
      <c r="F13" s="10" t="n">
        <f aca="false">'Pattern Tracker'!B14</f>
        <v>0</v>
      </c>
      <c r="G13" s="10" t="n">
        <f aca="false">'Pattern Tracker'!G14</f>
        <v>2</v>
      </c>
      <c r="H13" s="11" t="str">
        <f aca="false">IF('Pattern Tracker'!H14=0,"OK",IF('Pattern Tracker'!H14&gt;=2,"DEFICIT","LOW"))</f>
        <v>DEFICIT</v>
      </c>
    </row>
    <row r="14" customFormat="false" ht="26.85" hidden="false" customHeight="false" outlineLevel="0" collapsed="false">
      <c r="A14" s="13" t="s">
        <v>15</v>
      </c>
      <c r="B14" s="13" t="s">
        <v>16</v>
      </c>
      <c r="C14" s="13" t="s">
        <v>17</v>
      </c>
      <c r="E14" s="9" t="str">
        <f aca="false">'Pattern Tracker'!A15</f>
        <v>Olympic - Jerk</v>
      </c>
      <c r="F14" s="10" t="n">
        <f aca="false">'Pattern Tracker'!B15</f>
        <v>0</v>
      </c>
      <c r="G14" s="10" t="n">
        <f aca="false">'Pattern Tracker'!G15</f>
        <v>2</v>
      </c>
      <c r="H14" s="11" t="str">
        <f aca="false">IF('Pattern Tracker'!H15=0,"OK",IF('Pattern Tracker'!H15&gt;=2,"DEFICIT","LOW"))</f>
        <v>DEFICIT</v>
      </c>
    </row>
    <row r="15" customFormat="false" ht="15" hidden="false" customHeight="false" outlineLevel="0" collapsed="false">
      <c r="A15" s="14" t="n">
        <v>1</v>
      </c>
      <c r="B15" s="14" t="str">
        <f aca="false">IFERROR(INDEX('Need Vector'!A25:A84,MATCH(1,'Need Vector'!E25:E84,0)),"")</f>
        <v>Overhead Squat</v>
      </c>
      <c r="C15" s="15" t="n">
        <f aca="false">IFERROR(INDEX('Need Vector'!D25:D84,MATCH(1,'Need Vector'!E25:E84,0)),"")</f>
        <v>0.107142857142857</v>
      </c>
      <c r="E15" s="9" t="str">
        <f aca="false">'Pattern Tracker'!A16</f>
        <v>Monostructural</v>
      </c>
      <c r="F15" s="10" t="n">
        <f aca="false">'Pattern Tracker'!B16</f>
        <v>0</v>
      </c>
      <c r="G15" s="10" t="n">
        <f aca="false">'Pattern Tracker'!G16</f>
        <v>2</v>
      </c>
      <c r="H15" s="11" t="str">
        <f aca="false">IF('Pattern Tracker'!H16=0,"OK",IF('Pattern Tracker'!H16&gt;=2,"DEFICIT","LOW"))</f>
        <v>DEFICIT</v>
      </c>
    </row>
    <row r="16" customFormat="false" ht="15" hidden="false" customHeight="false" outlineLevel="0" collapsed="false">
      <c r="A16" s="16" t="n">
        <v>2</v>
      </c>
      <c r="B16" s="16" t="str">
        <f aca="false">IFERROR(INDEX('Need Vector'!A25:A84,MATCH(2,'Need Vector'!E25:E84,0)),"")</f>
        <v/>
      </c>
      <c r="C16" s="17" t="str">
        <f aca="false">IFERROR(INDEX('Need Vector'!D25:D84,MATCH(2,'Need Vector'!E25:E84,0)),"")</f>
        <v/>
      </c>
      <c r="E16" s="9" t="str">
        <f aca="false">'Pattern Tracker'!A17</f>
        <v>Midline</v>
      </c>
      <c r="F16" s="10" t="n">
        <f aca="false">'Pattern Tracker'!B17</f>
        <v>0</v>
      </c>
      <c r="G16" s="10" t="n">
        <f aca="false">'Pattern Tracker'!G17</f>
        <v>2</v>
      </c>
      <c r="H16" s="11" t="str">
        <f aca="false">IF('Pattern Tracker'!H17=0,"OK",IF('Pattern Tracker'!H17&gt;=2,"DEFICIT","LOW"))</f>
        <v>DEFICIT</v>
      </c>
    </row>
    <row r="17" customFormat="false" ht="15" hidden="false" customHeight="false" outlineLevel="0" collapsed="false">
      <c r="A17" s="14" t="n">
        <v>3</v>
      </c>
      <c r="B17" s="14" t="str">
        <f aca="false">IFERROR(INDEX('Need Vector'!A25:A84,MATCH(3,'Need Vector'!E25:E84,0)),"")</f>
        <v/>
      </c>
      <c r="C17" s="15" t="str">
        <f aca="false">IFERROR(INDEX('Need Vector'!D25:D84,MATCH(3,'Need Vector'!E25:E84,0)),"")</f>
        <v/>
      </c>
      <c r="E17" s="9" t="str">
        <f aca="false">'Pattern Tracker'!A18</f>
        <v>Loaded Carry</v>
      </c>
      <c r="F17" s="10" t="n">
        <f aca="false">'Pattern Tracker'!B18</f>
        <v>0</v>
      </c>
      <c r="G17" s="10" t="n">
        <f aca="false">'Pattern Tracker'!G18</f>
        <v>2</v>
      </c>
      <c r="H17" s="11" t="str">
        <f aca="false">IF('Pattern Tracker'!H18=0,"OK",IF('Pattern Tracker'!H18&gt;=2,"DEFICIT","LOW"))</f>
        <v>DEFICIT</v>
      </c>
    </row>
    <row r="18" customFormat="false" ht="15" hidden="false" customHeight="false" outlineLevel="0" collapsed="false">
      <c r="A18" s="16" t="n">
        <v>4</v>
      </c>
      <c r="B18" s="16" t="str">
        <f aca="false">IFERROR(INDEX('Need Vector'!A25:A84,MATCH(4,'Need Vector'!E25:E84,0)),"")</f>
        <v/>
      </c>
      <c r="C18" s="17" t="str">
        <f aca="false">IFERROR(INDEX('Need Vector'!D25:D84,MATCH(4,'Need Vector'!E25:E84,0)),"")</f>
        <v/>
      </c>
      <c r="E18" s="9" t="str">
        <f aca="false">'Pattern Tracker'!A19</f>
        <v>Plyometric</v>
      </c>
      <c r="F18" s="10" t="n">
        <f aca="false">'Pattern Tracker'!B19</f>
        <v>0</v>
      </c>
      <c r="G18" s="10" t="n">
        <f aca="false">'Pattern Tracker'!G19</f>
        <v>2</v>
      </c>
      <c r="H18" s="11" t="str">
        <f aca="false">IF('Pattern Tracker'!H19=0,"OK",IF('Pattern Tracker'!H19&gt;=2,"DEFICIT","LOW"))</f>
        <v>DEFICIT</v>
      </c>
    </row>
    <row r="19" customFormat="false" ht="15" hidden="false" customHeight="false" outlineLevel="0" collapsed="false">
      <c r="A19" s="14" t="n">
        <v>5</v>
      </c>
      <c r="B19" s="14" t="str">
        <f aca="false">IFERROR(INDEX('Need Vector'!A25:A84,MATCH(5,'Need Vector'!E25:E84,0)),"")</f>
        <v/>
      </c>
      <c r="C19" s="15" t="str">
        <f aca="false">IFERROR(INDEX('Need Vector'!D25:D84,MATCH(5,'Need Vector'!E25:E84,0)),"")</f>
        <v/>
      </c>
      <c r="E19" s="9" t="str">
        <f aca="false">'Pattern Tracker'!A20</f>
        <v>Accessory</v>
      </c>
      <c r="F19" s="10" t="n">
        <f aca="false">'Pattern Tracker'!B20</f>
        <v>0</v>
      </c>
      <c r="G19" s="10" t="n">
        <f aca="false">'Pattern Tracker'!G20</f>
        <v>2</v>
      </c>
      <c r="H19" s="11" t="str">
        <f aca="false">IF('Pattern Tracker'!H20=0,"OK",IF('Pattern Tracker'!H20&gt;=2,"DEFICIT","LOW"))</f>
        <v>DEFICIT</v>
      </c>
    </row>
    <row r="20" customFormat="false" ht="15" hidden="false" customHeight="false" outlineLevel="0" collapsed="false">
      <c r="A20" s="16" t="n">
        <v>6</v>
      </c>
      <c r="B20" s="16" t="str">
        <f aca="false">IFERROR(INDEX('Need Vector'!A25:A84,MATCH(6,'Need Vector'!E25:E84,0)),"")</f>
        <v/>
      </c>
      <c r="C20" s="17" t="str">
        <f aca="false">IFERROR(INDEX('Need Vector'!D25:D84,MATCH(6,'Need Vector'!E25:E84,0)),"")</f>
        <v/>
      </c>
    </row>
    <row r="21" customFormat="false" ht="15" hidden="false" customHeight="false" outlineLevel="0" collapsed="false">
      <c r="A21" s="14" t="n">
        <v>7</v>
      </c>
      <c r="B21" s="14" t="str">
        <f aca="false">IFERROR(INDEX('Need Vector'!A25:A84,MATCH(7,'Need Vector'!E25:E84,0)),"")</f>
        <v/>
      </c>
      <c r="C21" s="15" t="str">
        <f aca="false">IFERROR(INDEX('Need Vector'!D25:D84,MATCH(7,'Need Vector'!E25:E84,0)),"")</f>
        <v/>
      </c>
    </row>
    <row r="22" customFormat="false" ht="15" hidden="false" customHeight="false" outlineLevel="0" collapsed="false">
      <c r="A22" s="16" t="n">
        <v>8</v>
      </c>
      <c r="B22" s="16" t="str">
        <f aca="false">IFERROR(INDEX('Need Vector'!A25:A84,MATCH(8,'Need Vector'!E25:E84,0)),"")</f>
        <v/>
      </c>
      <c r="C22" s="17" t="str">
        <f aca="false">IFERROR(INDEX('Need Vector'!D25:D84,MATCH(8,'Need Vector'!E25:E84,0)),"")</f>
        <v/>
      </c>
    </row>
    <row r="23" customFormat="false" ht="15" hidden="false" customHeight="false" outlineLevel="0" collapsed="false">
      <c r="A23" s="14" t="n">
        <v>9</v>
      </c>
      <c r="B23" s="14" t="str">
        <f aca="false">IFERROR(INDEX('Need Vector'!A25:A84,MATCH(9,'Need Vector'!E25:E84,0)),"")</f>
        <v/>
      </c>
      <c r="C23" s="15" t="str">
        <f aca="false">IFERROR(INDEX('Need Vector'!D25:D84,MATCH(9,'Need Vector'!E25:E84,0)),"")</f>
        <v/>
      </c>
    </row>
    <row r="24" customFormat="false" ht="15" hidden="false" customHeight="false" outlineLevel="0" collapsed="false">
      <c r="A24" s="16" t="n">
        <v>10</v>
      </c>
      <c r="B24" s="16" t="str">
        <f aca="false">IFERROR(INDEX('Need Vector'!A25:A84,MATCH(10,'Need Vector'!E25:E84,0)),"")</f>
        <v/>
      </c>
      <c r="C24" s="17" t="str">
        <f aca="false">IFERROR(INDEX('Need Vector'!D25:D84,MATCH(10,'Need Vector'!E25:E84,0)),"")</f>
        <v/>
      </c>
    </row>
  </sheetData>
  <mergeCells count="4">
    <mergeCell ref="A1:J1"/>
    <mergeCell ref="A2:J2"/>
    <mergeCell ref="E4:H4"/>
    <mergeCell ref="A13:C13"/>
  </mergeCells>
  <conditionalFormatting sqref="H6:H19">
    <cfRule type="cellIs" priority="2" operator="equal" aboveAverage="0" equalAverage="0" bottom="0" percent="0" rank="0" text="" dxfId="0">
      <formula>"DEFICIT"</formula>
    </cfRule>
    <cfRule type="cellIs" priority="3" operator="equal" aboveAverage="0" equalAverage="0" bottom="0" percent="0" rank="0" text="" dxfId="1">
      <formula>"LOW"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8" t="s">
        <v>18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6.85" hidden="false" customHeight="false" outlineLevel="0" collapsed="false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 t="s">
        <v>28</v>
      </c>
      <c r="J3" s="13" t="s">
        <v>29</v>
      </c>
    </row>
    <row r="4" customFormat="false" ht="15" hidden="false" customHeight="false" outlineLevel="0" collapsed="false">
      <c r="A4" s="14" t="s">
        <v>30</v>
      </c>
      <c r="B4" s="14" t="s">
        <v>31</v>
      </c>
      <c r="C4" s="14" t="s">
        <v>32</v>
      </c>
      <c r="D4" s="14"/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/>
    </row>
    <row r="5" customFormat="false" ht="15" hidden="false" customHeight="false" outlineLevel="0" collapsed="false">
      <c r="A5" s="16" t="s">
        <v>38</v>
      </c>
      <c r="B5" s="16" t="s">
        <v>39</v>
      </c>
      <c r="C5" s="16" t="s">
        <v>32</v>
      </c>
      <c r="D5" s="16"/>
      <c r="E5" s="16" t="s">
        <v>33</v>
      </c>
      <c r="F5" s="16" t="s">
        <v>34</v>
      </c>
      <c r="G5" s="16" t="s">
        <v>35</v>
      </c>
      <c r="H5" s="16" t="s">
        <v>36</v>
      </c>
      <c r="I5" s="16" t="s">
        <v>40</v>
      </c>
      <c r="J5" s="16"/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32</v>
      </c>
      <c r="D6" s="14" t="s">
        <v>43</v>
      </c>
      <c r="E6" s="14" t="s">
        <v>33</v>
      </c>
      <c r="F6" s="14" t="s">
        <v>44</v>
      </c>
      <c r="G6" s="14" t="s">
        <v>35</v>
      </c>
      <c r="H6" s="14" t="s">
        <v>36</v>
      </c>
      <c r="I6" s="14" t="s">
        <v>45</v>
      </c>
      <c r="J6" s="14"/>
    </row>
    <row r="7" customFormat="false" ht="15" hidden="false" customHeight="false" outlineLevel="0" collapsed="false">
      <c r="A7" s="16" t="s">
        <v>46</v>
      </c>
      <c r="B7" s="16" t="s">
        <v>47</v>
      </c>
      <c r="C7" s="16" t="s">
        <v>32</v>
      </c>
      <c r="D7" s="16"/>
      <c r="E7" s="16" t="s">
        <v>48</v>
      </c>
      <c r="F7" s="16" t="s">
        <v>48</v>
      </c>
      <c r="G7" s="16" t="s">
        <v>35</v>
      </c>
      <c r="H7" s="16" t="s">
        <v>49</v>
      </c>
      <c r="I7" s="16" t="s">
        <v>37</v>
      </c>
      <c r="J7" s="16"/>
    </row>
    <row r="8" customFormat="false" ht="15" hidden="false" customHeight="false" outlineLevel="0" collapsed="false">
      <c r="A8" s="14" t="s">
        <v>50</v>
      </c>
      <c r="B8" s="14" t="s">
        <v>51</v>
      </c>
      <c r="C8" s="14" t="s">
        <v>32</v>
      </c>
      <c r="D8" s="14" t="s">
        <v>52</v>
      </c>
      <c r="E8" s="14" t="s">
        <v>48</v>
      </c>
      <c r="F8" s="14" t="s">
        <v>48</v>
      </c>
      <c r="G8" s="14" t="s">
        <v>53</v>
      </c>
      <c r="H8" s="14" t="s">
        <v>49</v>
      </c>
      <c r="I8" s="14" t="s">
        <v>45</v>
      </c>
      <c r="J8" s="14"/>
    </row>
    <row r="9" customFormat="false" ht="15" hidden="false" customHeight="false" outlineLevel="0" collapsed="false">
      <c r="A9" s="16" t="s">
        <v>54</v>
      </c>
      <c r="B9" s="16" t="s">
        <v>55</v>
      </c>
      <c r="C9" s="16" t="s">
        <v>32</v>
      </c>
      <c r="D9" s="16" t="s">
        <v>43</v>
      </c>
      <c r="E9" s="16" t="s">
        <v>56</v>
      </c>
      <c r="F9" s="16" t="s">
        <v>57</v>
      </c>
      <c r="G9" s="16" t="s">
        <v>35</v>
      </c>
      <c r="H9" s="16" t="s">
        <v>58</v>
      </c>
      <c r="I9" s="16" t="s">
        <v>37</v>
      </c>
      <c r="J9" s="16"/>
    </row>
    <row r="10" customFormat="false" ht="15" hidden="false" customHeight="false" outlineLevel="0" collapsed="false">
      <c r="A10" s="14" t="s">
        <v>59</v>
      </c>
      <c r="B10" s="14" t="s">
        <v>60</v>
      </c>
      <c r="C10" s="14" t="s">
        <v>32</v>
      </c>
      <c r="D10" s="14" t="s">
        <v>43</v>
      </c>
      <c r="E10" s="14" t="s">
        <v>33</v>
      </c>
      <c r="F10" s="14" t="s">
        <v>44</v>
      </c>
      <c r="G10" s="14" t="s">
        <v>35</v>
      </c>
      <c r="H10" s="14" t="s">
        <v>58</v>
      </c>
      <c r="I10" s="14" t="s">
        <v>40</v>
      </c>
      <c r="J10" s="14"/>
    </row>
    <row r="11" customFormat="false" ht="15" hidden="false" customHeight="false" outlineLevel="0" collapsed="false">
      <c r="A11" s="16" t="s">
        <v>61</v>
      </c>
      <c r="B11" s="16" t="s">
        <v>62</v>
      </c>
      <c r="C11" s="16" t="s">
        <v>63</v>
      </c>
      <c r="D11" s="16"/>
      <c r="E11" s="16" t="s">
        <v>33</v>
      </c>
      <c r="F11" s="16" t="s">
        <v>34</v>
      </c>
      <c r="G11" s="16" t="s">
        <v>35</v>
      </c>
      <c r="H11" s="16" t="s">
        <v>36</v>
      </c>
      <c r="I11" s="16" t="s">
        <v>37</v>
      </c>
      <c r="J11" s="16"/>
    </row>
    <row r="12" customFormat="false" ht="15" hidden="false" customHeight="false" outlineLevel="0" collapsed="false">
      <c r="A12" s="14" t="s">
        <v>64</v>
      </c>
      <c r="B12" s="14" t="s">
        <v>65</v>
      </c>
      <c r="C12" s="14" t="s">
        <v>63</v>
      </c>
      <c r="D12" s="14"/>
      <c r="E12" s="14" t="s">
        <v>33</v>
      </c>
      <c r="F12" s="14" t="s">
        <v>44</v>
      </c>
      <c r="G12" s="14" t="s">
        <v>35</v>
      </c>
      <c r="H12" s="14" t="s">
        <v>36</v>
      </c>
      <c r="I12" s="14" t="s">
        <v>37</v>
      </c>
      <c r="J12" s="14"/>
    </row>
    <row r="13" customFormat="false" ht="15" hidden="false" customHeight="false" outlineLevel="0" collapsed="false">
      <c r="A13" s="16" t="s">
        <v>66</v>
      </c>
      <c r="B13" s="16" t="s">
        <v>67</v>
      </c>
      <c r="C13" s="16" t="s">
        <v>63</v>
      </c>
      <c r="D13" s="16" t="s">
        <v>52</v>
      </c>
      <c r="E13" s="16" t="s">
        <v>68</v>
      </c>
      <c r="F13" s="16" t="s">
        <v>44</v>
      </c>
      <c r="G13" s="16" t="s">
        <v>35</v>
      </c>
      <c r="H13" s="16" t="s">
        <v>58</v>
      </c>
      <c r="I13" s="16" t="s">
        <v>37</v>
      </c>
      <c r="J13" s="16"/>
    </row>
    <row r="14" customFormat="false" ht="15" hidden="false" customHeight="false" outlineLevel="0" collapsed="false">
      <c r="A14" s="14" t="s">
        <v>69</v>
      </c>
      <c r="B14" s="14" t="s">
        <v>70</v>
      </c>
      <c r="C14" s="14" t="s">
        <v>63</v>
      </c>
      <c r="D14" s="14" t="s">
        <v>52</v>
      </c>
      <c r="E14" s="14" t="s">
        <v>71</v>
      </c>
      <c r="F14" s="14" t="s">
        <v>48</v>
      </c>
      <c r="G14" s="14" t="s">
        <v>35</v>
      </c>
      <c r="H14" s="14" t="s">
        <v>36</v>
      </c>
      <c r="I14" s="14" t="s">
        <v>40</v>
      </c>
      <c r="J14" s="14"/>
    </row>
    <row r="15" customFormat="false" ht="15" hidden="false" customHeight="false" outlineLevel="0" collapsed="false">
      <c r="A15" s="16" t="s">
        <v>72</v>
      </c>
      <c r="B15" s="16" t="s">
        <v>73</v>
      </c>
      <c r="C15" s="16" t="s">
        <v>63</v>
      </c>
      <c r="D15" s="16"/>
      <c r="E15" s="16" t="s">
        <v>74</v>
      </c>
      <c r="F15" s="16" t="s">
        <v>44</v>
      </c>
      <c r="G15" s="16" t="s">
        <v>53</v>
      </c>
      <c r="H15" s="16" t="s">
        <v>36</v>
      </c>
      <c r="I15" s="16" t="s">
        <v>40</v>
      </c>
      <c r="J15" s="16"/>
    </row>
    <row r="16" customFormat="false" ht="15" hidden="false" customHeight="false" outlineLevel="0" collapsed="false">
      <c r="A16" s="14" t="s">
        <v>75</v>
      </c>
      <c r="B16" s="14" t="s">
        <v>76</v>
      </c>
      <c r="C16" s="14" t="s">
        <v>43</v>
      </c>
      <c r="D16" s="14"/>
      <c r="E16" s="14" t="s">
        <v>33</v>
      </c>
      <c r="F16" s="14" t="s">
        <v>34</v>
      </c>
      <c r="G16" s="14" t="s">
        <v>35</v>
      </c>
      <c r="H16" s="14" t="s">
        <v>36</v>
      </c>
      <c r="I16" s="14" t="s">
        <v>37</v>
      </c>
      <c r="J16" s="14"/>
    </row>
    <row r="17" customFormat="false" ht="15" hidden="false" customHeight="false" outlineLevel="0" collapsed="false">
      <c r="A17" s="16" t="s">
        <v>77</v>
      </c>
      <c r="B17" s="16" t="s">
        <v>78</v>
      </c>
      <c r="C17" s="16" t="s">
        <v>43</v>
      </c>
      <c r="D17" s="16" t="s">
        <v>32</v>
      </c>
      <c r="E17" s="16" t="s">
        <v>33</v>
      </c>
      <c r="F17" s="16" t="s">
        <v>44</v>
      </c>
      <c r="G17" s="16" t="s">
        <v>35</v>
      </c>
      <c r="H17" s="16" t="s">
        <v>58</v>
      </c>
      <c r="I17" s="16" t="s">
        <v>40</v>
      </c>
      <c r="J17" s="16"/>
    </row>
    <row r="18" customFormat="false" ht="15" hidden="false" customHeight="false" outlineLevel="0" collapsed="false">
      <c r="A18" s="14" t="s">
        <v>79</v>
      </c>
      <c r="B18" s="14" t="s">
        <v>80</v>
      </c>
      <c r="C18" s="14" t="s">
        <v>43</v>
      </c>
      <c r="D18" s="14" t="s">
        <v>32</v>
      </c>
      <c r="E18" s="14" t="s">
        <v>33</v>
      </c>
      <c r="F18" s="14" t="s">
        <v>44</v>
      </c>
      <c r="G18" s="14" t="s">
        <v>35</v>
      </c>
      <c r="H18" s="14" t="s">
        <v>58</v>
      </c>
      <c r="I18" s="14" t="s">
        <v>40</v>
      </c>
      <c r="J18" s="14"/>
    </row>
    <row r="19" customFormat="false" ht="15" hidden="false" customHeight="false" outlineLevel="0" collapsed="false">
      <c r="A19" s="16" t="s">
        <v>81</v>
      </c>
      <c r="B19" s="16" t="s">
        <v>82</v>
      </c>
      <c r="C19" s="16" t="s">
        <v>43</v>
      </c>
      <c r="D19" s="16" t="s">
        <v>52</v>
      </c>
      <c r="E19" s="16" t="s">
        <v>48</v>
      </c>
      <c r="F19" s="16" t="s">
        <v>48</v>
      </c>
      <c r="G19" s="16" t="s">
        <v>35</v>
      </c>
      <c r="H19" s="16" t="s">
        <v>36</v>
      </c>
      <c r="I19" s="16" t="s">
        <v>45</v>
      </c>
      <c r="J19" s="16"/>
    </row>
    <row r="20" customFormat="false" ht="15" hidden="false" customHeight="false" outlineLevel="0" collapsed="false">
      <c r="A20" s="14" t="s">
        <v>83</v>
      </c>
      <c r="B20" s="14" t="s">
        <v>84</v>
      </c>
      <c r="C20" s="14" t="s">
        <v>85</v>
      </c>
      <c r="D20" s="14"/>
      <c r="E20" s="14" t="s">
        <v>33</v>
      </c>
      <c r="F20" s="14" t="s">
        <v>34</v>
      </c>
      <c r="G20" s="14" t="s">
        <v>35</v>
      </c>
      <c r="H20" s="14" t="s">
        <v>36</v>
      </c>
      <c r="I20" s="14" t="s">
        <v>37</v>
      </c>
      <c r="J20" s="14"/>
    </row>
    <row r="21" customFormat="false" ht="15" hidden="false" customHeight="false" outlineLevel="0" collapsed="false">
      <c r="A21" s="16" t="s">
        <v>86</v>
      </c>
      <c r="B21" s="16" t="s">
        <v>87</v>
      </c>
      <c r="C21" s="16" t="s">
        <v>85</v>
      </c>
      <c r="D21" s="16" t="s">
        <v>52</v>
      </c>
      <c r="E21" s="16" t="s">
        <v>48</v>
      </c>
      <c r="F21" s="16" t="s">
        <v>48</v>
      </c>
      <c r="G21" s="16" t="s">
        <v>35</v>
      </c>
      <c r="H21" s="16" t="s">
        <v>49</v>
      </c>
      <c r="I21" s="16" t="s">
        <v>37</v>
      </c>
      <c r="J21" s="16"/>
    </row>
    <row r="22" customFormat="false" ht="15" hidden="false" customHeight="false" outlineLevel="0" collapsed="false">
      <c r="A22" s="14" t="s">
        <v>88</v>
      </c>
      <c r="B22" s="14" t="s">
        <v>89</v>
      </c>
      <c r="C22" s="14" t="s">
        <v>43</v>
      </c>
      <c r="D22" s="14" t="s">
        <v>52</v>
      </c>
      <c r="E22" s="14" t="s">
        <v>90</v>
      </c>
      <c r="F22" s="14" t="s">
        <v>48</v>
      </c>
      <c r="G22" s="14" t="s">
        <v>35</v>
      </c>
      <c r="H22" s="14" t="s">
        <v>36</v>
      </c>
      <c r="I22" s="14" t="s">
        <v>45</v>
      </c>
      <c r="J22" s="14"/>
    </row>
    <row r="23" customFormat="false" ht="15" hidden="false" customHeight="false" outlineLevel="0" collapsed="false">
      <c r="A23" s="16" t="s">
        <v>91</v>
      </c>
      <c r="B23" s="16" t="s">
        <v>92</v>
      </c>
      <c r="C23" s="16" t="s">
        <v>93</v>
      </c>
      <c r="D23" s="16"/>
      <c r="E23" s="16" t="s">
        <v>90</v>
      </c>
      <c r="F23" s="16" t="s">
        <v>48</v>
      </c>
      <c r="G23" s="16" t="s">
        <v>35</v>
      </c>
      <c r="H23" s="16" t="s">
        <v>49</v>
      </c>
      <c r="I23" s="16" t="s">
        <v>40</v>
      </c>
      <c r="J23" s="16"/>
    </row>
    <row r="24" customFormat="false" ht="15" hidden="false" customHeight="false" outlineLevel="0" collapsed="false">
      <c r="A24" s="14" t="s">
        <v>94</v>
      </c>
      <c r="B24" s="14" t="s">
        <v>95</v>
      </c>
      <c r="C24" s="14" t="s">
        <v>93</v>
      </c>
      <c r="D24" s="14"/>
      <c r="E24" s="14" t="s">
        <v>90</v>
      </c>
      <c r="F24" s="14" t="s">
        <v>48</v>
      </c>
      <c r="G24" s="14" t="s">
        <v>35</v>
      </c>
      <c r="H24" s="14" t="s">
        <v>49</v>
      </c>
      <c r="I24" s="14" t="s">
        <v>45</v>
      </c>
      <c r="J24" s="14"/>
    </row>
    <row r="25" customFormat="false" ht="15" hidden="false" customHeight="false" outlineLevel="0" collapsed="false">
      <c r="A25" s="16" t="s">
        <v>96</v>
      </c>
      <c r="B25" s="16" t="s">
        <v>97</v>
      </c>
      <c r="C25" s="16" t="s">
        <v>93</v>
      </c>
      <c r="D25" s="16" t="s">
        <v>43</v>
      </c>
      <c r="E25" s="16" t="s">
        <v>90</v>
      </c>
      <c r="F25" s="16" t="s">
        <v>48</v>
      </c>
      <c r="G25" s="16" t="s">
        <v>35</v>
      </c>
      <c r="H25" s="16" t="s">
        <v>58</v>
      </c>
      <c r="I25" s="16" t="s">
        <v>45</v>
      </c>
      <c r="J25" s="16"/>
    </row>
    <row r="26" customFormat="false" ht="15" hidden="false" customHeight="false" outlineLevel="0" collapsed="false">
      <c r="A26" s="14" t="s">
        <v>98</v>
      </c>
      <c r="B26" s="14" t="s">
        <v>99</v>
      </c>
      <c r="C26" s="14" t="s">
        <v>93</v>
      </c>
      <c r="D26" s="14" t="s">
        <v>43</v>
      </c>
      <c r="E26" s="14" t="s">
        <v>90</v>
      </c>
      <c r="F26" s="14" t="s">
        <v>48</v>
      </c>
      <c r="G26" s="14" t="s">
        <v>35</v>
      </c>
      <c r="H26" s="14" t="s">
        <v>58</v>
      </c>
      <c r="I26" s="14" t="s">
        <v>45</v>
      </c>
      <c r="J26" s="14"/>
    </row>
    <row r="27" customFormat="false" ht="15" hidden="false" customHeight="false" outlineLevel="0" collapsed="false">
      <c r="A27" s="16" t="s">
        <v>100</v>
      </c>
      <c r="B27" s="16" t="s">
        <v>101</v>
      </c>
      <c r="C27" s="16" t="s">
        <v>52</v>
      </c>
      <c r="D27" s="16" t="s">
        <v>93</v>
      </c>
      <c r="E27" s="16" t="s">
        <v>90</v>
      </c>
      <c r="F27" s="16" t="s">
        <v>48</v>
      </c>
      <c r="G27" s="16" t="s">
        <v>35</v>
      </c>
      <c r="H27" s="16" t="s">
        <v>58</v>
      </c>
      <c r="I27" s="16" t="s">
        <v>40</v>
      </c>
      <c r="J27" s="16"/>
    </row>
    <row r="28" customFormat="false" ht="15" hidden="false" customHeight="false" outlineLevel="0" collapsed="false">
      <c r="A28" s="14" t="s">
        <v>102</v>
      </c>
      <c r="B28" s="14" t="s">
        <v>103</v>
      </c>
      <c r="C28" s="14" t="s">
        <v>104</v>
      </c>
      <c r="D28" s="14"/>
      <c r="E28" s="14" t="s">
        <v>33</v>
      </c>
      <c r="F28" s="14" t="s">
        <v>44</v>
      </c>
      <c r="G28" s="14" t="s">
        <v>35</v>
      </c>
      <c r="H28" s="14" t="s">
        <v>36</v>
      </c>
      <c r="I28" s="14" t="s">
        <v>37</v>
      </c>
      <c r="J28" s="14"/>
    </row>
    <row r="29" customFormat="false" ht="15" hidden="false" customHeight="false" outlineLevel="0" collapsed="false">
      <c r="A29" s="16" t="s">
        <v>105</v>
      </c>
      <c r="B29" s="16" t="s">
        <v>106</v>
      </c>
      <c r="C29" s="16" t="s">
        <v>104</v>
      </c>
      <c r="D29" s="16"/>
      <c r="E29" s="16" t="s">
        <v>90</v>
      </c>
      <c r="F29" s="16" t="s">
        <v>48</v>
      </c>
      <c r="G29" s="16" t="s">
        <v>35</v>
      </c>
      <c r="H29" s="16" t="s">
        <v>49</v>
      </c>
      <c r="I29" s="16" t="s">
        <v>37</v>
      </c>
      <c r="J29" s="16"/>
    </row>
    <row r="30" customFormat="false" ht="15" hidden="false" customHeight="false" outlineLevel="0" collapsed="false">
      <c r="A30" s="14" t="s">
        <v>107</v>
      </c>
      <c r="B30" s="14" t="s">
        <v>108</v>
      </c>
      <c r="C30" s="14" t="s">
        <v>109</v>
      </c>
      <c r="D30" s="14"/>
      <c r="E30" s="14" t="s">
        <v>33</v>
      </c>
      <c r="F30" s="14" t="s">
        <v>34</v>
      </c>
      <c r="G30" s="14" t="s">
        <v>35</v>
      </c>
      <c r="H30" s="14" t="s">
        <v>36</v>
      </c>
      <c r="I30" s="14" t="s">
        <v>45</v>
      </c>
      <c r="J30" s="14"/>
    </row>
    <row r="31" customFormat="false" ht="15" hidden="false" customHeight="false" outlineLevel="0" collapsed="false">
      <c r="A31" s="16" t="s">
        <v>110</v>
      </c>
      <c r="B31" s="16" t="s">
        <v>111</v>
      </c>
      <c r="C31" s="16" t="s">
        <v>109</v>
      </c>
      <c r="D31" s="16" t="s">
        <v>63</v>
      </c>
      <c r="E31" s="16" t="s">
        <v>33</v>
      </c>
      <c r="F31" s="16" t="s">
        <v>44</v>
      </c>
      <c r="G31" s="16" t="s">
        <v>35</v>
      </c>
      <c r="H31" s="16" t="s">
        <v>36</v>
      </c>
      <c r="I31" s="16" t="s">
        <v>45</v>
      </c>
      <c r="J31" s="16"/>
    </row>
    <row r="32" customFormat="false" ht="15" hidden="false" customHeight="false" outlineLevel="0" collapsed="false">
      <c r="A32" s="14" t="s">
        <v>112</v>
      </c>
      <c r="B32" s="14" t="s">
        <v>113</v>
      </c>
      <c r="C32" s="14" t="s">
        <v>109</v>
      </c>
      <c r="D32" s="14" t="s">
        <v>63</v>
      </c>
      <c r="E32" s="14" t="s">
        <v>33</v>
      </c>
      <c r="F32" s="14" t="s">
        <v>34</v>
      </c>
      <c r="G32" s="14" t="s">
        <v>35</v>
      </c>
      <c r="H32" s="14" t="s">
        <v>36</v>
      </c>
      <c r="I32" s="14" t="s">
        <v>40</v>
      </c>
      <c r="J32" s="14"/>
    </row>
    <row r="33" customFormat="false" ht="15" hidden="false" customHeight="false" outlineLevel="0" collapsed="false">
      <c r="A33" s="16" t="s">
        <v>114</v>
      </c>
      <c r="B33" s="16" t="s">
        <v>115</v>
      </c>
      <c r="C33" s="16" t="s">
        <v>109</v>
      </c>
      <c r="D33" s="16"/>
      <c r="E33" s="16" t="s">
        <v>33</v>
      </c>
      <c r="F33" s="16" t="s">
        <v>44</v>
      </c>
      <c r="G33" s="16" t="s">
        <v>35</v>
      </c>
      <c r="H33" s="16" t="s">
        <v>36</v>
      </c>
      <c r="I33" s="16" t="s">
        <v>45</v>
      </c>
      <c r="J33" s="16"/>
    </row>
    <row r="34" customFormat="false" ht="15" hidden="false" customHeight="false" outlineLevel="0" collapsed="false">
      <c r="A34" s="14" t="s">
        <v>116</v>
      </c>
      <c r="B34" s="14" t="s">
        <v>117</v>
      </c>
      <c r="C34" s="14" t="s">
        <v>118</v>
      </c>
      <c r="D34" s="14"/>
      <c r="E34" s="14" t="s">
        <v>33</v>
      </c>
      <c r="F34" s="14" t="s">
        <v>34</v>
      </c>
      <c r="G34" s="14" t="s">
        <v>35</v>
      </c>
      <c r="H34" s="14" t="s">
        <v>36</v>
      </c>
      <c r="I34" s="14" t="s">
        <v>45</v>
      </c>
      <c r="J34" s="14"/>
    </row>
    <row r="35" customFormat="false" ht="15" hidden="false" customHeight="false" outlineLevel="0" collapsed="false">
      <c r="A35" s="16" t="s">
        <v>119</v>
      </c>
      <c r="B35" s="16" t="s">
        <v>120</v>
      </c>
      <c r="C35" s="16" t="s">
        <v>118</v>
      </c>
      <c r="D35" s="16" t="s">
        <v>63</v>
      </c>
      <c r="E35" s="16" t="s">
        <v>33</v>
      </c>
      <c r="F35" s="16" t="s">
        <v>44</v>
      </c>
      <c r="G35" s="16" t="s">
        <v>35</v>
      </c>
      <c r="H35" s="16" t="s">
        <v>36</v>
      </c>
      <c r="I35" s="16" t="s">
        <v>45</v>
      </c>
      <c r="J35" s="16"/>
    </row>
    <row r="36" customFormat="false" ht="15" hidden="false" customHeight="false" outlineLevel="0" collapsed="false">
      <c r="A36" s="14" t="s">
        <v>121</v>
      </c>
      <c r="B36" s="14" t="s">
        <v>122</v>
      </c>
      <c r="C36" s="14" t="s">
        <v>118</v>
      </c>
      <c r="D36" s="14"/>
      <c r="E36" s="14" t="s">
        <v>33</v>
      </c>
      <c r="F36" s="14" t="s">
        <v>44</v>
      </c>
      <c r="G36" s="14" t="s">
        <v>35</v>
      </c>
      <c r="H36" s="14" t="s">
        <v>36</v>
      </c>
      <c r="I36" s="14" t="s">
        <v>45</v>
      </c>
      <c r="J36" s="14"/>
    </row>
    <row r="37" customFormat="false" ht="15" hidden="false" customHeight="false" outlineLevel="0" collapsed="false">
      <c r="A37" s="16" t="s">
        <v>123</v>
      </c>
      <c r="B37" s="16" t="s">
        <v>124</v>
      </c>
      <c r="C37" s="16" t="s">
        <v>118</v>
      </c>
      <c r="D37" s="16" t="s">
        <v>63</v>
      </c>
      <c r="E37" s="16" t="s">
        <v>33</v>
      </c>
      <c r="F37" s="16" t="s">
        <v>34</v>
      </c>
      <c r="G37" s="16" t="s">
        <v>35</v>
      </c>
      <c r="H37" s="16" t="s">
        <v>36</v>
      </c>
      <c r="I37" s="16" t="s">
        <v>40</v>
      </c>
      <c r="J37" s="16"/>
    </row>
    <row r="38" customFormat="false" ht="15" hidden="false" customHeight="false" outlineLevel="0" collapsed="false">
      <c r="A38" s="14" t="s">
        <v>125</v>
      </c>
      <c r="B38" s="14" t="s">
        <v>126</v>
      </c>
      <c r="C38" s="14" t="s">
        <v>127</v>
      </c>
      <c r="D38" s="14" t="s">
        <v>43</v>
      </c>
      <c r="E38" s="14" t="s">
        <v>33</v>
      </c>
      <c r="F38" s="14" t="s">
        <v>34</v>
      </c>
      <c r="G38" s="14" t="s">
        <v>35</v>
      </c>
      <c r="H38" s="14" t="s">
        <v>36</v>
      </c>
      <c r="I38" s="14" t="s">
        <v>45</v>
      </c>
      <c r="J38" s="14"/>
    </row>
    <row r="39" customFormat="false" ht="15" hidden="false" customHeight="false" outlineLevel="0" collapsed="false">
      <c r="A39" s="16" t="s">
        <v>128</v>
      </c>
      <c r="B39" s="16" t="s">
        <v>129</v>
      </c>
      <c r="C39" s="16" t="s">
        <v>118</v>
      </c>
      <c r="D39" s="16" t="s">
        <v>127</v>
      </c>
      <c r="E39" s="16" t="s">
        <v>33</v>
      </c>
      <c r="F39" s="16" t="s">
        <v>34</v>
      </c>
      <c r="G39" s="16" t="s">
        <v>35</v>
      </c>
      <c r="H39" s="16" t="s">
        <v>36</v>
      </c>
      <c r="I39" s="16" t="s">
        <v>45</v>
      </c>
      <c r="J39" s="16"/>
    </row>
    <row r="40" customFormat="false" ht="15" hidden="false" customHeight="false" outlineLevel="0" collapsed="false">
      <c r="A40" s="14" t="s">
        <v>130</v>
      </c>
      <c r="B40" s="14" t="s">
        <v>131</v>
      </c>
      <c r="C40" s="14" t="s">
        <v>132</v>
      </c>
      <c r="D40" s="14"/>
      <c r="E40" s="14" t="s">
        <v>133</v>
      </c>
      <c r="F40" s="14" t="s">
        <v>48</v>
      </c>
      <c r="G40" s="14" t="s">
        <v>35</v>
      </c>
      <c r="H40" s="14" t="s">
        <v>134</v>
      </c>
      <c r="I40" s="14" t="s">
        <v>37</v>
      </c>
      <c r="J40" s="14"/>
    </row>
    <row r="41" customFormat="false" ht="15" hidden="false" customHeight="false" outlineLevel="0" collapsed="false">
      <c r="A41" s="16" t="s">
        <v>135</v>
      </c>
      <c r="B41" s="16" t="s">
        <v>136</v>
      </c>
      <c r="C41" s="16" t="s">
        <v>132</v>
      </c>
      <c r="D41" s="16" t="s">
        <v>104</v>
      </c>
      <c r="E41" s="16" t="s">
        <v>137</v>
      </c>
      <c r="F41" s="16" t="s">
        <v>138</v>
      </c>
      <c r="G41" s="16" t="s">
        <v>35</v>
      </c>
      <c r="H41" s="16" t="s">
        <v>134</v>
      </c>
      <c r="I41" s="16" t="s">
        <v>37</v>
      </c>
      <c r="J41" s="16"/>
    </row>
    <row r="42" customFormat="false" ht="15" hidden="false" customHeight="false" outlineLevel="0" collapsed="false">
      <c r="A42" s="14" t="s">
        <v>139</v>
      </c>
      <c r="B42" s="14" t="s">
        <v>140</v>
      </c>
      <c r="C42" s="14" t="s">
        <v>132</v>
      </c>
      <c r="D42" s="14"/>
      <c r="E42" s="14" t="s">
        <v>141</v>
      </c>
      <c r="F42" s="14" t="s">
        <v>138</v>
      </c>
      <c r="G42" s="14" t="s">
        <v>35</v>
      </c>
      <c r="H42" s="14" t="s">
        <v>134</v>
      </c>
      <c r="I42" s="14" t="s">
        <v>37</v>
      </c>
      <c r="J42" s="14"/>
    </row>
    <row r="43" customFormat="false" ht="15" hidden="false" customHeight="false" outlineLevel="0" collapsed="false">
      <c r="A43" s="16" t="s">
        <v>142</v>
      </c>
      <c r="B43" s="16" t="s">
        <v>143</v>
      </c>
      <c r="C43" s="16" t="s">
        <v>132</v>
      </c>
      <c r="D43" s="16" t="s">
        <v>93</v>
      </c>
      <c r="E43" s="16" t="s">
        <v>143</v>
      </c>
      <c r="F43" s="16" t="s">
        <v>138</v>
      </c>
      <c r="G43" s="16" t="s">
        <v>35</v>
      </c>
      <c r="H43" s="16" t="s">
        <v>134</v>
      </c>
      <c r="I43" s="16" t="s">
        <v>37</v>
      </c>
      <c r="J43" s="16"/>
    </row>
    <row r="44" customFormat="false" ht="15" hidden="false" customHeight="false" outlineLevel="0" collapsed="false">
      <c r="A44" s="14" t="s">
        <v>144</v>
      </c>
      <c r="B44" s="14" t="s">
        <v>145</v>
      </c>
      <c r="C44" s="14" t="s">
        <v>132</v>
      </c>
      <c r="D44" s="14"/>
      <c r="E44" s="14" t="s">
        <v>146</v>
      </c>
      <c r="F44" s="14" t="s">
        <v>48</v>
      </c>
      <c r="G44" s="14" t="s">
        <v>35</v>
      </c>
      <c r="H44" s="14" t="s">
        <v>58</v>
      </c>
      <c r="I44" s="14" t="s">
        <v>40</v>
      </c>
      <c r="J44" s="14"/>
    </row>
    <row r="45" customFormat="false" ht="15" hidden="false" customHeight="false" outlineLevel="0" collapsed="false">
      <c r="A45" s="16" t="s">
        <v>147</v>
      </c>
      <c r="B45" s="16" t="s">
        <v>148</v>
      </c>
      <c r="C45" s="16" t="s">
        <v>52</v>
      </c>
      <c r="D45" s="16"/>
      <c r="E45" s="16" t="s">
        <v>71</v>
      </c>
      <c r="F45" s="16" t="s">
        <v>48</v>
      </c>
      <c r="G45" s="16" t="s">
        <v>35</v>
      </c>
      <c r="H45" s="16" t="s">
        <v>58</v>
      </c>
      <c r="I45" s="16" t="s">
        <v>40</v>
      </c>
      <c r="J45" s="16"/>
    </row>
    <row r="46" customFormat="false" ht="15" hidden="false" customHeight="false" outlineLevel="0" collapsed="false">
      <c r="A46" s="14" t="s">
        <v>149</v>
      </c>
      <c r="B46" s="14" t="s">
        <v>150</v>
      </c>
      <c r="C46" s="14" t="s">
        <v>52</v>
      </c>
      <c r="D46" s="14"/>
      <c r="E46" s="14" t="s">
        <v>90</v>
      </c>
      <c r="F46" s="14" t="s">
        <v>48</v>
      </c>
      <c r="G46" s="14" t="s">
        <v>35</v>
      </c>
      <c r="H46" s="14" t="s">
        <v>36</v>
      </c>
      <c r="I46" s="14" t="s">
        <v>40</v>
      </c>
      <c r="J46" s="14"/>
    </row>
    <row r="47" customFormat="false" ht="15" hidden="false" customHeight="false" outlineLevel="0" collapsed="false">
      <c r="A47" s="16" t="s">
        <v>151</v>
      </c>
      <c r="B47" s="16" t="s">
        <v>152</v>
      </c>
      <c r="C47" s="16" t="s">
        <v>52</v>
      </c>
      <c r="D47" s="16"/>
      <c r="E47" s="16" t="s">
        <v>48</v>
      </c>
      <c r="F47" s="16" t="s">
        <v>48</v>
      </c>
      <c r="G47" s="16" t="s">
        <v>35</v>
      </c>
      <c r="H47" s="16" t="s">
        <v>134</v>
      </c>
      <c r="I47" s="16" t="s">
        <v>37</v>
      </c>
      <c r="J47" s="16"/>
    </row>
    <row r="48" customFormat="false" ht="15" hidden="false" customHeight="false" outlineLevel="0" collapsed="false">
      <c r="A48" s="14" t="s">
        <v>153</v>
      </c>
      <c r="B48" s="14" t="s">
        <v>154</v>
      </c>
      <c r="C48" s="14" t="s">
        <v>155</v>
      </c>
      <c r="D48" s="14" t="s">
        <v>52</v>
      </c>
      <c r="E48" s="14" t="s">
        <v>74</v>
      </c>
      <c r="F48" s="14" t="s">
        <v>34</v>
      </c>
      <c r="G48" s="14" t="s">
        <v>35</v>
      </c>
      <c r="H48" s="14" t="s">
        <v>134</v>
      </c>
      <c r="I48" s="14" t="s">
        <v>37</v>
      </c>
      <c r="J48" s="14"/>
    </row>
    <row r="49" customFormat="false" ht="15" hidden="false" customHeight="false" outlineLevel="0" collapsed="false">
      <c r="A49" s="16" t="s">
        <v>156</v>
      </c>
      <c r="B49" s="16" t="s">
        <v>157</v>
      </c>
      <c r="C49" s="16" t="s">
        <v>155</v>
      </c>
      <c r="D49" s="16" t="s">
        <v>43</v>
      </c>
      <c r="E49" s="16" t="s">
        <v>74</v>
      </c>
      <c r="F49" s="16" t="s">
        <v>44</v>
      </c>
      <c r="G49" s="16" t="s">
        <v>35</v>
      </c>
      <c r="H49" s="16" t="s">
        <v>134</v>
      </c>
      <c r="I49" s="16" t="s">
        <v>40</v>
      </c>
      <c r="J49" s="16"/>
    </row>
    <row r="50" customFormat="false" ht="15" hidden="false" customHeight="false" outlineLevel="0" collapsed="false">
      <c r="A50" s="14" t="s">
        <v>158</v>
      </c>
      <c r="B50" s="14" t="s">
        <v>159</v>
      </c>
      <c r="C50" s="14" t="s">
        <v>155</v>
      </c>
      <c r="D50" s="14" t="s">
        <v>52</v>
      </c>
      <c r="E50" s="14" t="s">
        <v>68</v>
      </c>
      <c r="F50" s="14" t="s">
        <v>44</v>
      </c>
      <c r="G50" s="14" t="s">
        <v>35</v>
      </c>
      <c r="H50" s="14" t="s">
        <v>134</v>
      </c>
      <c r="I50" s="14" t="s">
        <v>37</v>
      </c>
      <c r="J50" s="14"/>
    </row>
    <row r="51" customFormat="false" ht="15" hidden="false" customHeight="false" outlineLevel="0" collapsed="false">
      <c r="A51" s="16" t="s">
        <v>160</v>
      </c>
      <c r="B51" s="16" t="s">
        <v>161</v>
      </c>
      <c r="C51" s="16" t="s">
        <v>155</v>
      </c>
      <c r="D51" s="16" t="s">
        <v>32</v>
      </c>
      <c r="E51" s="16" t="s">
        <v>162</v>
      </c>
      <c r="F51" s="16" t="s">
        <v>34</v>
      </c>
      <c r="G51" s="16" t="s">
        <v>35</v>
      </c>
      <c r="H51" s="16" t="s">
        <v>58</v>
      </c>
      <c r="I51" s="16" t="s">
        <v>37</v>
      </c>
      <c r="J51" s="16"/>
    </row>
    <row r="52" customFormat="false" ht="15" hidden="false" customHeight="false" outlineLevel="0" collapsed="false">
      <c r="A52" s="14" t="s">
        <v>163</v>
      </c>
      <c r="B52" s="14" t="s">
        <v>164</v>
      </c>
      <c r="C52" s="14" t="s">
        <v>165</v>
      </c>
      <c r="D52" s="14" t="s">
        <v>32</v>
      </c>
      <c r="E52" s="14" t="s">
        <v>48</v>
      </c>
      <c r="F52" s="14" t="s">
        <v>48</v>
      </c>
      <c r="G52" s="14" t="s">
        <v>35</v>
      </c>
      <c r="H52" s="14" t="s">
        <v>36</v>
      </c>
      <c r="I52" s="14" t="s">
        <v>40</v>
      </c>
      <c r="J52" s="14"/>
    </row>
    <row r="53" customFormat="false" ht="15" hidden="false" customHeight="false" outlineLevel="0" collapsed="false">
      <c r="A53" s="16" t="s">
        <v>166</v>
      </c>
      <c r="B53" s="16" t="s">
        <v>167</v>
      </c>
      <c r="C53" s="16" t="s">
        <v>93</v>
      </c>
      <c r="D53" s="16" t="s">
        <v>52</v>
      </c>
      <c r="E53" s="16" t="s">
        <v>90</v>
      </c>
      <c r="F53" s="16" t="s">
        <v>48</v>
      </c>
      <c r="G53" s="16" t="s">
        <v>35</v>
      </c>
      <c r="H53" s="16" t="s">
        <v>58</v>
      </c>
      <c r="I53" s="16" t="s">
        <v>45</v>
      </c>
      <c r="J53" s="16"/>
    </row>
    <row r="54" customFormat="false" ht="15" hidden="false" customHeight="false" outlineLevel="0" collapsed="false">
      <c r="A54" s="14" t="s">
        <v>168</v>
      </c>
      <c r="B54" s="14" t="s">
        <v>169</v>
      </c>
      <c r="C54" s="14" t="s">
        <v>165</v>
      </c>
      <c r="D54" s="14" t="s">
        <v>85</v>
      </c>
      <c r="E54" s="14" t="s">
        <v>48</v>
      </c>
      <c r="F54" s="14" t="s">
        <v>48</v>
      </c>
      <c r="G54" s="14" t="s">
        <v>35</v>
      </c>
      <c r="H54" s="14" t="s">
        <v>58</v>
      </c>
      <c r="I54" s="14" t="s">
        <v>37</v>
      </c>
      <c r="J54" s="14"/>
    </row>
    <row r="55" customFormat="false" ht="15" hidden="false" customHeight="false" outlineLevel="0" collapsed="false">
      <c r="A55" s="16" t="s">
        <v>170</v>
      </c>
      <c r="B55" s="16" t="s">
        <v>171</v>
      </c>
      <c r="C55" s="16" t="s">
        <v>109</v>
      </c>
      <c r="D55" s="16" t="s">
        <v>63</v>
      </c>
      <c r="E55" s="16" t="s">
        <v>74</v>
      </c>
      <c r="F55" s="16" t="s">
        <v>44</v>
      </c>
      <c r="G55" s="16" t="s">
        <v>53</v>
      </c>
      <c r="H55" s="16" t="s">
        <v>58</v>
      </c>
      <c r="I55" s="16" t="s">
        <v>40</v>
      </c>
      <c r="J55" s="16"/>
    </row>
    <row r="56" customFormat="false" ht="15" hidden="false" customHeight="false" outlineLevel="0" collapsed="false">
      <c r="A56" s="14" t="s">
        <v>172</v>
      </c>
      <c r="B56" s="14" t="s">
        <v>173</v>
      </c>
      <c r="C56" s="14" t="s">
        <v>52</v>
      </c>
      <c r="D56" s="14" t="s">
        <v>155</v>
      </c>
      <c r="E56" s="14" t="s">
        <v>68</v>
      </c>
      <c r="F56" s="14" t="s">
        <v>44</v>
      </c>
      <c r="G56" s="14" t="s">
        <v>53</v>
      </c>
      <c r="H56" s="14" t="s">
        <v>49</v>
      </c>
      <c r="I56" s="14" t="s">
        <v>45</v>
      </c>
      <c r="J56" s="14"/>
    </row>
    <row r="57" customFormat="false" ht="15" hidden="false" customHeight="false" outlineLevel="0" collapsed="false">
      <c r="A57" s="16" t="s">
        <v>174</v>
      </c>
      <c r="B57" s="16" t="s">
        <v>175</v>
      </c>
      <c r="C57" s="16" t="s">
        <v>118</v>
      </c>
      <c r="D57" s="16" t="s">
        <v>63</v>
      </c>
      <c r="E57" s="16" t="s">
        <v>176</v>
      </c>
      <c r="F57" s="16" t="s">
        <v>44</v>
      </c>
      <c r="G57" s="16" t="s">
        <v>35</v>
      </c>
      <c r="H57" s="16" t="s">
        <v>58</v>
      </c>
      <c r="I57" s="16" t="s">
        <v>40</v>
      </c>
      <c r="J57" s="16"/>
    </row>
    <row r="58" customFormat="false" ht="15" hidden="false" customHeight="false" outlineLevel="0" collapsed="false">
      <c r="A58" s="14" t="s">
        <v>177</v>
      </c>
      <c r="B58" s="14" t="s">
        <v>178</v>
      </c>
      <c r="C58" s="14" t="s">
        <v>93</v>
      </c>
      <c r="D58" s="14"/>
      <c r="E58" s="14" t="s">
        <v>90</v>
      </c>
      <c r="F58" s="14" t="s">
        <v>48</v>
      </c>
      <c r="G58" s="14" t="s">
        <v>35</v>
      </c>
      <c r="H58" s="14" t="s">
        <v>36</v>
      </c>
      <c r="I58" s="14" t="s">
        <v>40</v>
      </c>
      <c r="J58" s="14"/>
    </row>
    <row r="59" customFormat="false" ht="15" hidden="false" customHeight="false" outlineLevel="0" collapsed="false">
      <c r="A59" s="16" t="s">
        <v>179</v>
      </c>
      <c r="B59" s="16" t="s">
        <v>180</v>
      </c>
      <c r="C59" s="16" t="s">
        <v>32</v>
      </c>
      <c r="D59" s="16"/>
      <c r="E59" s="16" t="s">
        <v>48</v>
      </c>
      <c r="F59" s="16" t="s">
        <v>48</v>
      </c>
      <c r="G59" s="16" t="s">
        <v>53</v>
      </c>
      <c r="H59" s="16" t="s">
        <v>58</v>
      </c>
      <c r="I59" s="16" t="s">
        <v>37</v>
      </c>
      <c r="J59" s="16"/>
    </row>
    <row r="60" customFormat="false" ht="15" hidden="false" customHeight="false" outlineLevel="0" collapsed="false">
      <c r="A60" s="14" t="s">
        <v>181</v>
      </c>
      <c r="B60" s="14" t="s">
        <v>182</v>
      </c>
      <c r="C60" s="14" t="s">
        <v>32</v>
      </c>
      <c r="D60" s="14" t="s">
        <v>52</v>
      </c>
      <c r="E60" s="14" t="s">
        <v>33</v>
      </c>
      <c r="F60" s="14" t="s">
        <v>44</v>
      </c>
      <c r="G60" s="14" t="s">
        <v>53</v>
      </c>
      <c r="H60" s="14" t="s">
        <v>58</v>
      </c>
      <c r="I60" s="14" t="s">
        <v>40</v>
      </c>
      <c r="J60" s="14"/>
    </row>
    <row r="61" customFormat="false" ht="15" hidden="false" customHeight="false" outlineLevel="0" collapsed="false">
      <c r="A61" s="16" t="s">
        <v>183</v>
      </c>
      <c r="B61" s="16" t="s">
        <v>184</v>
      </c>
      <c r="C61" s="16" t="s">
        <v>63</v>
      </c>
      <c r="D61" s="16" t="s">
        <v>93</v>
      </c>
      <c r="E61" s="16" t="s">
        <v>33</v>
      </c>
      <c r="F61" s="16" t="s">
        <v>44</v>
      </c>
      <c r="G61" s="16" t="s">
        <v>35</v>
      </c>
      <c r="H61" s="16" t="s">
        <v>58</v>
      </c>
      <c r="I61" s="16" t="s">
        <v>40</v>
      </c>
      <c r="J61" s="16"/>
    </row>
    <row r="62" customFormat="false" ht="15" hidden="false" customHeight="false" outlineLevel="0" collapsed="false">
      <c r="A62" s="14" t="s">
        <v>185</v>
      </c>
      <c r="B62" s="14" t="s">
        <v>186</v>
      </c>
      <c r="C62" s="14" t="s">
        <v>43</v>
      </c>
      <c r="D62" s="14" t="s">
        <v>52</v>
      </c>
      <c r="E62" s="14" t="s">
        <v>48</v>
      </c>
      <c r="F62" s="14" t="s">
        <v>48</v>
      </c>
      <c r="G62" s="14" t="s">
        <v>35</v>
      </c>
      <c r="H62" s="14" t="s">
        <v>36</v>
      </c>
      <c r="I62" s="14" t="s">
        <v>45</v>
      </c>
      <c r="J62" s="14"/>
    </row>
    <row r="63" customFormat="false" ht="15" hidden="false" customHeight="false" outlineLevel="0" collapsed="false">
      <c r="A63" s="16" t="s">
        <v>187</v>
      </c>
      <c r="B63" s="16" t="s">
        <v>188</v>
      </c>
      <c r="C63" s="16" t="s">
        <v>132</v>
      </c>
      <c r="D63" s="16"/>
      <c r="E63" s="16" t="s">
        <v>141</v>
      </c>
      <c r="F63" s="16" t="s">
        <v>138</v>
      </c>
      <c r="G63" s="16" t="s">
        <v>35</v>
      </c>
      <c r="H63" s="16" t="s">
        <v>134</v>
      </c>
      <c r="I63" s="16" t="s">
        <v>37</v>
      </c>
      <c r="J63" s="16"/>
    </row>
  </sheetData>
  <mergeCells count="2">
    <mergeCell ref="A1:J1"/>
    <mergeCell ref="A2:J2"/>
  </mergeCells>
  <dataValidations count="6">
    <dataValidation allowBlank="true" error="Pick from the list" errorStyle="stop" operator="between" prompt="Select movement pattern" showDropDown="false" showErrorMessage="false" showInputMessage="false" sqref="C4:D200" type="list">
      <formula1>"Squat,Hinge,Push (Horizontal),Push (Vertical),Pull (Horizontal),Pull (Vertical),Olympic - Snatch,Olympic - Clean,Olympic - Jerk,Monostructural,Midline,Loaded Carry,Plyometric,Accessory"</formula1>
      <formula2>0</formula2>
    </dataValidation>
    <dataValidation allowBlank="true" errorStyle="stop" operator="between" showDropDown="false" showErrorMessage="false" showInputMessage="false" sqref="E4:E200" type="list">
      <formula1>"Barbell,Dumbbell,Kettlebell,Bodyweight,Machine,Rig/Bar,Rower,Bike,Ski Erg,Sled,Jump Rope,Medicine Ball,Sandbag,None"</formula1>
      <formula2>0</formula2>
    </dataValidation>
    <dataValidation allowBlank="true" errorStyle="stop" operator="between" showDropDown="false" showErrorMessage="false" showInputMessage="false" sqref="F4:F200" type="list">
      <formula1>"Heavy,Moderate,Light,Bodyweight,Variable"</formula1>
      <formula2>0</formula2>
    </dataValidation>
    <dataValidation allowBlank="true" errorStyle="stop" operator="between" showDropDown="false" showErrorMessage="false" showInputMessage="false" sqref="G4:G200" type="list">
      <formula1>"Bilateral,Unilateral,N/A"</formula1>
      <formula2>0</formula2>
    </dataValidation>
    <dataValidation allowBlank="true" errorStyle="stop" operator="between" showDropDown="false" showErrorMessage="false" showInputMessage="false" sqref="H4:H200" type="list">
      <formula1>"Phosphagen,Glycolytic,Oxidative,Mixed"</formula1>
      <formula2>0</formula2>
    </dataValidation>
    <dataValidation allowBlank="true" errorStyle="stop" operator="between" showDropDown="false" showErrorMessage="false" showInputMessage="false" sqref="I4:I200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13" min="6" style="0" width="22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9" t="s">
        <v>189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5" hidden="false" customHeight="false" outlineLevel="0" collapsed="false">
      <c r="A2" s="2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6.85" hidden="false" customHeight="false" outlineLevel="0" collapsed="false">
      <c r="A3" s="13" t="s">
        <v>191</v>
      </c>
      <c r="B3" s="13" t="s">
        <v>192</v>
      </c>
      <c r="C3" s="13" t="s">
        <v>193</v>
      </c>
      <c r="D3" s="13" t="s">
        <v>194</v>
      </c>
      <c r="E3" s="13" t="s">
        <v>195</v>
      </c>
      <c r="F3" s="13" t="s">
        <v>196</v>
      </c>
      <c r="G3" s="13" t="s">
        <v>197</v>
      </c>
      <c r="H3" s="13" t="s">
        <v>198</v>
      </c>
      <c r="I3" s="13" t="s">
        <v>199</v>
      </c>
      <c r="J3" s="13" t="s">
        <v>200</v>
      </c>
      <c r="K3" s="13" t="s">
        <v>201</v>
      </c>
      <c r="L3" s="13" t="s">
        <v>202</v>
      </c>
      <c r="M3" s="13" t="s">
        <v>203</v>
      </c>
      <c r="N3" s="13" t="s">
        <v>204</v>
      </c>
      <c r="O3" s="13" t="s">
        <v>205</v>
      </c>
      <c r="P3" s="13" t="s">
        <v>29</v>
      </c>
    </row>
    <row r="4" customFormat="false" ht="15" hidden="false" customHeight="false" outlineLevel="0" collapsed="false">
      <c r="A4" s="14"/>
      <c r="B4" s="20" t="str">
        <f aca="false">IF(A4="","","WOD-"&amp;TEXT(ROW()-3,"000"))</f>
        <v/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customFormat="false" ht="15" hidden="false" customHeight="false" outlineLevel="0" collapsed="false">
      <c r="A5" s="16"/>
      <c r="B5" s="21" t="str">
        <f aca="false">IF(A5="","","WOD-"&amp;TEXT(ROW()-3,"000"))</f>
        <v/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customFormat="false" ht="15" hidden="false" customHeight="false" outlineLevel="0" collapsed="false">
      <c r="A6" s="14"/>
      <c r="B6" s="20" t="str">
        <f aca="false">IF(A6="","","WOD-"&amp;TEXT(ROW()-3,"000"))</f>
        <v/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customFormat="false" ht="15" hidden="false" customHeight="false" outlineLevel="0" collapsed="false">
      <c r="A7" s="16"/>
      <c r="B7" s="21" t="str">
        <f aca="false">IF(A7="","","WOD-"&amp;TEXT(ROW()-3,"000"))</f>
        <v/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customFormat="false" ht="15" hidden="false" customHeight="false" outlineLevel="0" collapsed="false">
      <c r="A8" s="14"/>
      <c r="B8" s="20" t="str">
        <f aca="false">IF(A8="","","WOD-"&amp;TEXT(ROW()-3,"000"))</f>
        <v/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customFormat="false" ht="15" hidden="false" customHeight="false" outlineLevel="0" collapsed="false">
      <c r="A9" s="16"/>
      <c r="B9" s="21" t="str">
        <f aca="false">IF(A9="","","WOD-"&amp;TEXT(ROW()-3,"000"))</f>
        <v/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customFormat="false" ht="15" hidden="false" customHeight="false" outlineLevel="0" collapsed="false">
      <c r="A10" s="14"/>
      <c r="B10" s="20" t="str">
        <f aca="false">IF(A10="","","WOD-"&amp;TEXT(ROW()-3,"000"))</f>
        <v/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customFormat="false" ht="15" hidden="false" customHeight="false" outlineLevel="0" collapsed="false">
      <c r="A11" s="16"/>
      <c r="B11" s="21" t="str">
        <f aca="false">IF(A11="","","WOD-"&amp;TEXT(ROW()-3,"000"))</f>
        <v/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Format="false" ht="15" hidden="false" customHeight="false" outlineLevel="0" collapsed="false">
      <c r="A12" s="14"/>
      <c r="B12" s="20" t="str">
        <f aca="false">IF(A12="","","WOD-"&amp;TEXT(ROW()-3,"000"))</f>
        <v/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customFormat="false" ht="15" hidden="false" customHeight="false" outlineLevel="0" collapsed="false">
      <c r="A13" s="16"/>
      <c r="B13" s="21" t="str">
        <f aca="false">IF(A13="","","WOD-"&amp;TEXT(ROW()-3,"000"))</f>
        <v/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customFormat="false" ht="15" hidden="false" customHeight="false" outlineLevel="0" collapsed="false">
      <c r="A14" s="14"/>
      <c r="B14" s="20" t="str">
        <f aca="false">IF(A14="","","WOD-"&amp;TEXT(ROW()-3,"000"))</f>
        <v/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customFormat="false" ht="15" hidden="false" customHeight="false" outlineLevel="0" collapsed="false">
      <c r="A15" s="16"/>
      <c r="B15" s="21" t="str">
        <f aca="false">IF(A15="","","WOD-"&amp;TEXT(ROW()-3,"000"))</f>
        <v/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customFormat="false" ht="15" hidden="false" customHeight="false" outlineLevel="0" collapsed="false">
      <c r="A16" s="14"/>
      <c r="B16" s="20" t="str">
        <f aca="false">IF(A16="","","WOD-"&amp;TEXT(ROW()-3,"000"))</f>
        <v/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customFormat="false" ht="15" hidden="false" customHeight="false" outlineLevel="0" collapsed="false">
      <c r="A17" s="16"/>
      <c r="B17" s="21" t="str">
        <f aca="false">IF(A17="","","WOD-"&amp;TEXT(ROW()-3,"000"))</f>
        <v/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customFormat="false" ht="15" hidden="false" customHeight="false" outlineLevel="0" collapsed="false">
      <c r="A18" s="14"/>
      <c r="B18" s="20" t="str">
        <f aca="false">IF(A18="","","WOD-"&amp;TEXT(ROW()-3,"000"))</f>
        <v/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customFormat="false" ht="15" hidden="false" customHeight="false" outlineLevel="0" collapsed="false">
      <c r="A19" s="16"/>
      <c r="B19" s="21" t="str">
        <f aca="false">IF(A19="","","WOD-"&amp;TEXT(ROW()-3,"000"))</f>
        <v/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customFormat="false" ht="15" hidden="false" customHeight="false" outlineLevel="0" collapsed="false">
      <c r="A20" s="14"/>
      <c r="B20" s="20" t="str">
        <f aca="false">IF(A20="","","WOD-"&amp;TEXT(ROW()-3,"000"))</f>
        <v/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customFormat="false" ht="15" hidden="false" customHeight="false" outlineLevel="0" collapsed="false">
      <c r="A21" s="16"/>
      <c r="B21" s="21" t="str">
        <f aca="false">IF(A21="","","WOD-"&amp;TEXT(ROW()-3,"000"))</f>
        <v/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customFormat="false" ht="15" hidden="false" customHeight="false" outlineLevel="0" collapsed="false">
      <c r="A22" s="14"/>
      <c r="B22" s="20" t="str">
        <f aca="false">IF(A22="","","WOD-"&amp;TEXT(ROW()-3,"000"))</f>
        <v/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customFormat="false" ht="15" hidden="false" customHeight="false" outlineLevel="0" collapsed="false">
      <c r="A23" s="16"/>
      <c r="B23" s="21" t="str">
        <f aca="false">IF(A23="","","WOD-"&amp;TEXT(ROW()-3,"000"))</f>
        <v/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customFormat="false" ht="15" hidden="false" customHeight="false" outlineLevel="0" collapsed="false">
      <c r="A24" s="14"/>
      <c r="B24" s="20" t="str">
        <f aca="false">IF(A24="","","WOD-"&amp;TEXT(ROW()-3,"000"))</f>
        <v/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customFormat="false" ht="15" hidden="false" customHeight="false" outlineLevel="0" collapsed="false">
      <c r="A25" s="16"/>
      <c r="B25" s="21" t="str">
        <f aca="false">IF(A25="","","WOD-"&amp;TEXT(ROW()-3,"000"))</f>
        <v/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customFormat="false" ht="15" hidden="false" customHeight="false" outlineLevel="0" collapsed="false">
      <c r="A26" s="14"/>
      <c r="B26" s="20" t="str">
        <f aca="false">IF(A26="","","WOD-"&amp;TEXT(ROW()-3,"000"))</f>
        <v/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customFormat="false" ht="15" hidden="false" customHeight="false" outlineLevel="0" collapsed="false">
      <c r="A27" s="16"/>
      <c r="B27" s="21" t="str">
        <f aca="false">IF(A27="","","WOD-"&amp;TEXT(ROW()-3,"000"))</f>
        <v/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customFormat="false" ht="15" hidden="false" customHeight="false" outlineLevel="0" collapsed="false">
      <c r="A28" s="14"/>
      <c r="B28" s="20" t="str">
        <f aca="false">IF(A28="","","WOD-"&amp;TEXT(ROW()-3,"000"))</f>
        <v/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customFormat="false" ht="15" hidden="false" customHeight="false" outlineLevel="0" collapsed="false">
      <c r="A29" s="16"/>
      <c r="B29" s="21" t="str">
        <f aca="false">IF(A29="","","WOD-"&amp;TEXT(ROW()-3,"000"))</f>
        <v/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customFormat="false" ht="15" hidden="false" customHeight="false" outlineLevel="0" collapsed="false">
      <c r="A30" s="14"/>
      <c r="B30" s="20" t="str">
        <f aca="false">IF(A30="","","WOD-"&amp;TEXT(ROW()-3,"000"))</f>
        <v/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customFormat="false" ht="15" hidden="false" customHeight="false" outlineLevel="0" collapsed="false">
      <c r="A31" s="16"/>
      <c r="B31" s="21" t="str">
        <f aca="false">IF(A31="","","WOD-"&amp;TEXT(ROW()-3,"000"))</f>
        <v/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customFormat="false" ht="15" hidden="false" customHeight="false" outlineLevel="0" collapsed="false">
      <c r="A32" s="14"/>
      <c r="B32" s="20" t="str">
        <f aca="false">IF(A32="","","WOD-"&amp;TEXT(ROW()-3,"000"))</f>
        <v/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customFormat="false" ht="15" hidden="false" customHeight="false" outlineLevel="0" collapsed="false">
      <c r="A33" s="16"/>
      <c r="B33" s="21" t="str">
        <f aca="false">IF(A33="","","WOD-"&amp;TEXT(ROW()-3,"000"))</f>
        <v/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customFormat="false" ht="15" hidden="false" customHeight="false" outlineLevel="0" collapsed="false">
      <c r="A34" s="14"/>
      <c r="B34" s="20" t="str">
        <f aca="false">IF(A34="","","WOD-"&amp;TEXT(ROW()-3,"000"))</f>
        <v/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customFormat="false" ht="15" hidden="false" customHeight="false" outlineLevel="0" collapsed="false">
      <c r="A35" s="16"/>
      <c r="B35" s="21" t="str">
        <f aca="false">IF(A35="","","WOD-"&amp;TEXT(ROW()-3,"000"))</f>
        <v/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customFormat="false" ht="15" hidden="false" customHeight="false" outlineLevel="0" collapsed="false">
      <c r="A36" s="14"/>
      <c r="B36" s="20" t="str">
        <f aca="false">IF(A36="","","WOD-"&amp;TEXT(ROW()-3,"000"))</f>
        <v/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customFormat="false" ht="15" hidden="false" customHeight="false" outlineLevel="0" collapsed="false">
      <c r="A37" s="16"/>
      <c r="B37" s="21" t="str">
        <f aca="false">IF(A37="","","WOD-"&amp;TEXT(ROW()-3,"000"))</f>
        <v/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customFormat="false" ht="15" hidden="false" customHeight="false" outlineLevel="0" collapsed="false">
      <c r="A38" s="14"/>
      <c r="B38" s="20" t="str">
        <f aca="false">IF(A38="","","WOD-"&amp;TEXT(ROW()-3,"000"))</f>
        <v/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customFormat="false" ht="15" hidden="false" customHeight="false" outlineLevel="0" collapsed="false">
      <c r="A39" s="16"/>
      <c r="B39" s="21" t="str">
        <f aca="false">IF(A39="","","WOD-"&amp;TEXT(ROW()-3,"000"))</f>
        <v/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customFormat="false" ht="15" hidden="false" customHeight="false" outlineLevel="0" collapsed="false">
      <c r="A40" s="14"/>
      <c r="B40" s="20" t="str">
        <f aca="false">IF(A40="","","WOD-"&amp;TEXT(ROW()-3,"000"))</f>
        <v/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customFormat="false" ht="15" hidden="false" customHeight="false" outlineLevel="0" collapsed="false">
      <c r="A41" s="16"/>
      <c r="B41" s="21" t="str">
        <f aca="false">IF(A41="","","WOD-"&amp;TEXT(ROW()-3,"000"))</f>
        <v/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customFormat="false" ht="15" hidden="false" customHeight="false" outlineLevel="0" collapsed="false">
      <c r="A42" s="14"/>
      <c r="B42" s="20" t="str">
        <f aca="false">IF(A42="","","WOD-"&amp;TEXT(ROW()-3,"000"))</f>
        <v/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customFormat="false" ht="15" hidden="false" customHeight="false" outlineLevel="0" collapsed="false">
      <c r="A43" s="16"/>
      <c r="B43" s="21" t="str">
        <f aca="false">IF(A43="","","WOD-"&amp;TEXT(ROW()-3,"000"))</f>
        <v/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customFormat="false" ht="15" hidden="false" customHeight="false" outlineLevel="0" collapsed="false">
      <c r="A44" s="14"/>
      <c r="B44" s="20" t="str">
        <f aca="false">IF(A44="","","WOD-"&amp;TEXT(ROW()-3,"000"))</f>
        <v/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customFormat="false" ht="15" hidden="false" customHeight="false" outlineLevel="0" collapsed="false">
      <c r="A45" s="16"/>
      <c r="B45" s="21" t="str">
        <f aca="false">IF(A45="","","WOD-"&amp;TEXT(ROW()-3,"000"))</f>
        <v/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customFormat="false" ht="15" hidden="false" customHeight="false" outlineLevel="0" collapsed="false">
      <c r="A46" s="14"/>
      <c r="B46" s="20" t="str">
        <f aca="false">IF(A46="","","WOD-"&amp;TEXT(ROW()-3,"000"))</f>
        <v/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customFormat="false" ht="15" hidden="false" customHeight="false" outlineLevel="0" collapsed="false">
      <c r="A47" s="16"/>
      <c r="B47" s="21" t="str">
        <f aca="false">IF(A47="","","WOD-"&amp;TEXT(ROW()-3,"000"))</f>
        <v/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customFormat="false" ht="15" hidden="false" customHeight="false" outlineLevel="0" collapsed="false">
      <c r="A48" s="14"/>
      <c r="B48" s="20" t="str">
        <f aca="false">IF(A48="","","WOD-"&amp;TEXT(ROW()-3,"000"))</f>
        <v/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customFormat="false" ht="15" hidden="false" customHeight="false" outlineLevel="0" collapsed="false">
      <c r="A49" s="16"/>
      <c r="B49" s="21" t="str">
        <f aca="false">IF(A49="","","WOD-"&amp;TEXT(ROW()-3,"000"))</f>
        <v/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customFormat="false" ht="15" hidden="false" customHeight="false" outlineLevel="0" collapsed="false">
      <c r="A50" s="14"/>
      <c r="B50" s="20" t="str">
        <f aca="false">IF(A50="","","WOD-"&amp;TEXT(ROW()-3,"000"))</f>
        <v/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customFormat="false" ht="15" hidden="false" customHeight="false" outlineLevel="0" collapsed="false">
      <c r="A51" s="16"/>
      <c r="B51" s="21" t="str">
        <f aca="false">IF(A51="","","WOD-"&amp;TEXT(ROW()-3,"000"))</f>
        <v/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customFormat="false" ht="15" hidden="false" customHeight="false" outlineLevel="0" collapsed="false">
      <c r="A52" s="14"/>
      <c r="B52" s="20" t="str">
        <f aca="false">IF(A52="","","WOD-"&amp;TEXT(ROW()-3,"000"))</f>
        <v/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customFormat="false" ht="15" hidden="false" customHeight="false" outlineLevel="0" collapsed="false">
      <c r="A53" s="16"/>
      <c r="B53" s="21" t="str">
        <f aca="false">IF(A53="","","WOD-"&amp;TEXT(ROW()-3,"000"))</f>
        <v/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</sheetData>
  <mergeCells count="2">
    <mergeCell ref="A1:P1"/>
    <mergeCell ref="A2:P2"/>
  </mergeCells>
  <dataValidations count="4">
    <dataValidation allowBlank="true" errorStyle="stop" operator="between" showDropDown="false" showErrorMessage="false" showInputMessage="false" sqref="C4:C500" type="list">
      <formula1>"Strength,Conditioning,Skill,Accessory,Hybrid,Test/Benchmark"</formula1>
      <formula2>0</formula2>
    </dataValidation>
    <dataValidation allowBlank="true" errorStyle="stop" operator="between" showDropDown="false" showErrorMessage="false" showInputMessage="false" sqref="D4:D500" type="list">
      <formula1>"For Time,AMRAP,EMOM,Rounds + Reps,Heavy Single,Rep Scheme,Tabata,Chipper,Ladder,Other"</formula1>
      <formula2>0</formula2>
    </dataValidation>
    <dataValidation allowBlank="true" error="Pick from Exercise Library" errorStyle="stop" operator="between" showDropDown="false" showErrorMessage="false" showInputMessage="false" sqref="F4:M500" type="list">
      <formula1>'Exercise Library'!$B$4:$B$200</formula1>
      <formula2>0</formula2>
    </dataValidation>
    <dataValidation allowBlank="true" errorStyle="stop" operator="between" showDropDown="false" showErrorMessage="false" showInputMessage="false" sqref="O4:O500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8" min="5" style="0" width="16"/>
  </cols>
  <sheetData>
    <row r="1" customFormat="false" ht="17.35" hidden="false" customHeight="false" outlineLevel="0" collapsed="false">
      <c r="A1" s="22" t="s">
        <v>206</v>
      </c>
      <c r="B1" s="22"/>
      <c r="C1" s="22"/>
      <c r="D1" s="22"/>
      <c r="E1" s="22"/>
      <c r="F1" s="22"/>
      <c r="G1" s="22"/>
      <c r="H1" s="22"/>
    </row>
    <row r="2" customFormat="false" ht="15" hidden="false" customHeight="false" outlineLevel="0" collapsed="false">
      <c r="A2" s="2" t="s">
        <v>207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208</v>
      </c>
      <c r="B4" s="23" t="n">
        <f aca="true">TODAY()</f>
        <v>46085</v>
      </c>
    </row>
    <row r="6" customFormat="false" ht="26.85" hidden="false" customHeight="false" outlineLevel="0" collapsed="false">
      <c r="A6" s="13" t="s">
        <v>209</v>
      </c>
      <c r="B6" s="13" t="s">
        <v>210</v>
      </c>
      <c r="C6" s="13" t="s">
        <v>211</v>
      </c>
      <c r="D6" s="13" t="s">
        <v>212</v>
      </c>
      <c r="E6" s="13" t="s">
        <v>213</v>
      </c>
      <c r="F6" s="13" t="s">
        <v>214</v>
      </c>
      <c r="G6" s="13" t="s">
        <v>215</v>
      </c>
      <c r="H6" s="13" t="s">
        <v>216</v>
      </c>
    </row>
    <row r="7" customFormat="false" ht="15" hidden="false" customHeight="false" outlineLevel="0" collapsed="false">
      <c r="A7" s="14" t="s">
        <v>32</v>
      </c>
      <c r="B7" s="14" t="n">
        <f aca="true">SUMPRODUCT(('Workout Log'!$A$4:$A$500&gt;=TODAY()-7)*('Workout Log'!$A$4:$A$500&lt;&gt;"")*(IFERROR(VLOOKUP('Workout Log'!F$4:F$500,'Exercise Library'!$B$4:$C$200,2,FALSE()),"")=A7))+SUMPRODUCT(('Workout Log'!$A$4:$A$500&gt;=TODAY()-7)*('Workout Log'!$A$4:$A$500&lt;&gt;"")*(IFERROR(VLOOKUP('Workout Log'!F$4:F$500,'Exercise Library'!$B$4:$D$200,3,FALSE()),"")=A7))+SUMPRODUCT(('Workout Log'!$A$4:$A$500&gt;=TODAY()-7)*('Workout Log'!$A$4:$A$500&lt;&gt;"")*(IFERROR(VLOOKUP('Workout Log'!G$4:G$500,'Exercise Library'!$B$4:$C$200,2,FALSE()),"")=A7))+SUMPRODUCT(('Workout Log'!$A$4:$A$500&gt;=TODAY()-7)*('Workout Log'!$A$4:$A$500&lt;&gt;"")*(IFERROR(VLOOKUP('Workout Log'!G$4:G$500,'Exercise Library'!$B$4:$D$200,3,FALSE()),"")=A7))+SUMPRODUCT(('Workout Log'!$A$4:$A$500&gt;=TODAY()-7)*('Workout Log'!$A$4:$A$500&lt;&gt;"")*(IFERROR(VLOOKUP('Workout Log'!H$4:H$500,'Exercise Library'!$B$4:$C$200,2,FALSE()),"")=A7))+SUMPRODUCT(('Workout Log'!$A$4:$A$500&gt;=TODAY()-7)*('Workout Log'!$A$4:$A$500&lt;&gt;"")*(IFERROR(VLOOKUP('Workout Log'!H$4:H$500,'Exercise Library'!$B$4:$D$200,3,FALSE()),"")=A7))+SUMPRODUCT(('Workout Log'!$A$4:$A$500&gt;=TODAY()-7)*('Workout Log'!$A$4:$A$500&lt;&gt;"")*(IFERROR(VLOOKUP('Workout Log'!I$4:I$500,'Exercise Library'!$B$4:$C$200,2,FALSE()),"")=A7))+SUMPRODUCT(('Workout Log'!$A$4:$A$500&gt;=TODAY()-7)*('Workout Log'!$A$4:$A$500&lt;&gt;"")*(IFERROR(VLOOKUP('Workout Log'!I$4:I$500,'Exercise Library'!$B$4:$D$200,3,FALSE()),"")=A7))+SUMPRODUCT(('Workout Log'!$A$4:$A$500&gt;=TODAY()-7)*('Workout Log'!$A$4:$A$500&lt;&gt;"")*(IFERROR(VLOOKUP('Workout Log'!J$4:J$500,'Exercise Library'!$B$4:$C$200,2,FALSE()),"")=A7))+SUMPRODUCT(('Workout Log'!$A$4:$A$500&gt;=TODAY()-7)*('Workout Log'!$A$4:$A$500&lt;&gt;"")*(IFERROR(VLOOKUP('Workout Log'!J$4:J$500,'Exercise Library'!$B$4:$D$200,3,FALSE()),"")=A7))+SUMPRODUCT(('Workout Log'!$A$4:$A$500&gt;=TODAY()-7)*('Workout Log'!$A$4:$A$500&lt;&gt;"")*(IFERROR(VLOOKUP('Workout Log'!K$4:K$500,'Exercise Library'!$B$4:$C$200,2,FALSE()),"")=A7))+SUMPRODUCT(('Workout Log'!$A$4:$A$500&gt;=TODAY()-7)*('Workout Log'!$A$4:$A$500&lt;&gt;"")*(IFERROR(VLOOKUP('Workout Log'!K$4:K$500,'Exercise Library'!$B$4:$D$200,3,FALSE()),"")=A7))+SUMPRODUCT(('Workout Log'!$A$4:$A$500&gt;=TODAY()-7)*('Workout Log'!$A$4:$A$500&lt;&gt;"")*(IFERROR(VLOOKUP('Workout Log'!L$4:L$500,'Exercise Library'!$B$4:$C$200,2,FALSE()),"")=A7))+SUMPRODUCT(('Workout Log'!$A$4:$A$500&gt;=TODAY()-7)*('Workout Log'!$A$4:$A$500&lt;&gt;"")*(IFERROR(VLOOKUP('Workout Log'!L$4:L$500,'Exercise Library'!$B$4:$D$200,3,FALSE()),"")=A7))+SUMPRODUCT(('Workout Log'!$A$4:$A$500&gt;=TODAY()-7)*('Workout Log'!$A$4:$A$500&lt;&gt;"")*(IFERROR(VLOOKUP('Workout Log'!M$4:M$500,'Exercise Library'!$B$4:$C$200,2,FALSE()),"")=A7))+SUMPRODUCT(('Workout Log'!$A$4:$A$500&gt;=TODAY()-7)*('Workout Log'!$A$4:$A$500&lt;&gt;"")*(IFERROR(VLOOKUP('Workout Log'!M$4:M$500,'Exercise Library'!$B$4:$D$200,3,FALSE()),"")=A7))</f>
        <v>0</v>
      </c>
      <c r="C7" s="14" t="n">
        <f aca="true">SUMPRODUCT(('Workout Log'!$A$4:$A$500&gt;=TODAY()-14)*('Workout Log'!$A$4:$A$500&lt;&gt;"")*(IFERROR(VLOOKUP('Workout Log'!F$4:F$500,'Exercise Library'!$B$4:$C$200,2,FALSE()),"")=A7))+SUMPRODUCT(('Workout Log'!$A$4:$A$500&gt;=TODAY()-14)*('Workout Log'!$A$4:$A$500&lt;&gt;"")*(IFERROR(VLOOKUP('Workout Log'!F$4:F$500,'Exercise Library'!$B$4:$D$200,3,FALSE()),"")=A7))+SUMPRODUCT(('Workout Log'!$A$4:$A$500&gt;=TODAY()-14)*('Workout Log'!$A$4:$A$500&lt;&gt;"")*(IFERROR(VLOOKUP('Workout Log'!G$4:G$500,'Exercise Library'!$B$4:$C$200,2,FALSE()),"")=A7))+SUMPRODUCT(('Workout Log'!$A$4:$A$500&gt;=TODAY()-14)*('Workout Log'!$A$4:$A$500&lt;&gt;"")*(IFERROR(VLOOKUP('Workout Log'!G$4:G$500,'Exercise Library'!$B$4:$D$200,3,FALSE()),"")=A7))+SUMPRODUCT(('Workout Log'!$A$4:$A$500&gt;=TODAY()-14)*('Workout Log'!$A$4:$A$500&lt;&gt;"")*(IFERROR(VLOOKUP('Workout Log'!H$4:H$500,'Exercise Library'!$B$4:$C$200,2,FALSE()),"")=A7))+SUMPRODUCT(('Workout Log'!$A$4:$A$500&gt;=TODAY()-14)*('Workout Log'!$A$4:$A$500&lt;&gt;"")*(IFERROR(VLOOKUP('Workout Log'!H$4:H$500,'Exercise Library'!$B$4:$D$200,3,FALSE()),"")=A7))+SUMPRODUCT(('Workout Log'!$A$4:$A$500&gt;=TODAY()-14)*('Workout Log'!$A$4:$A$500&lt;&gt;"")*(IFERROR(VLOOKUP('Workout Log'!I$4:I$500,'Exercise Library'!$B$4:$C$200,2,FALSE()),"")=A7))+SUMPRODUCT(('Workout Log'!$A$4:$A$500&gt;=TODAY()-14)*('Workout Log'!$A$4:$A$500&lt;&gt;"")*(IFERROR(VLOOKUP('Workout Log'!I$4:I$500,'Exercise Library'!$B$4:$D$200,3,FALSE()),"")=A7))+SUMPRODUCT(('Workout Log'!$A$4:$A$500&gt;=TODAY()-14)*('Workout Log'!$A$4:$A$500&lt;&gt;"")*(IFERROR(VLOOKUP('Workout Log'!J$4:J$500,'Exercise Library'!$B$4:$C$200,2,FALSE()),"")=A7))+SUMPRODUCT(('Workout Log'!$A$4:$A$500&gt;=TODAY()-14)*('Workout Log'!$A$4:$A$500&lt;&gt;"")*(IFERROR(VLOOKUP('Workout Log'!J$4:J$500,'Exercise Library'!$B$4:$D$200,3,FALSE()),"")=A7))+SUMPRODUCT(('Workout Log'!$A$4:$A$500&gt;=TODAY()-14)*('Workout Log'!$A$4:$A$500&lt;&gt;"")*(IFERROR(VLOOKUP('Workout Log'!K$4:K$500,'Exercise Library'!$B$4:$C$200,2,FALSE()),"")=A7))+SUMPRODUCT(('Workout Log'!$A$4:$A$500&gt;=TODAY()-14)*('Workout Log'!$A$4:$A$500&lt;&gt;"")*(IFERROR(VLOOKUP('Workout Log'!K$4:K$500,'Exercise Library'!$B$4:$D$200,3,FALSE()),"")=A7))+SUMPRODUCT(('Workout Log'!$A$4:$A$500&gt;=TODAY()-14)*('Workout Log'!$A$4:$A$500&lt;&gt;"")*(IFERROR(VLOOKUP('Workout Log'!L$4:L$500,'Exercise Library'!$B$4:$C$200,2,FALSE()),"")=A7))+SUMPRODUCT(('Workout Log'!$A$4:$A$500&gt;=TODAY()-14)*('Workout Log'!$A$4:$A$500&lt;&gt;"")*(IFERROR(VLOOKUP('Workout Log'!L$4:L$500,'Exercise Library'!$B$4:$D$200,3,FALSE()),"")=A7))+SUMPRODUCT(('Workout Log'!$A$4:$A$500&gt;=TODAY()-14)*('Workout Log'!$A$4:$A$500&lt;&gt;"")*(IFERROR(VLOOKUP('Workout Log'!M$4:M$500,'Exercise Library'!$B$4:$C$200,2,FALSE()),"")=A7))+SUMPRODUCT(('Workout Log'!$A$4:$A$500&gt;=TODAY()-14)*('Workout Log'!$A$4:$A$500&lt;&gt;"")*(IFERROR(VLOOKUP('Workout Log'!M$4:M$500,'Exercise Library'!$B$4:$D$200,3,FALSE()),"")=A7))</f>
        <v>0</v>
      </c>
      <c r="D7" s="14" t="n">
        <f aca="true">SUMPRODUCT(('Workout Log'!$A$4:$A$500&gt;=TODAY()-30)*('Workout Log'!$A$4:$A$500&lt;&gt;"")*(IFERROR(VLOOKUP('Workout Log'!F$4:F$500,'Exercise Library'!$B$4:$C$200,2,FALSE()),"")=A7))+SUMPRODUCT(('Workout Log'!$A$4:$A$500&gt;=TODAY()-30)*('Workout Log'!$A$4:$A$500&lt;&gt;"")*(IFERROR(VLOOKUP('Workout Log'!F$4:F$500,'Exercise Library'!$B$4:$D$200,3,FALSE()),"")=A7))+SUMPRODUCT(('Workout Log'!$A$4:$A$500&gt;=TODAY()-30)*('Workout Log'!$A$4:$A$500&lt;&gt;"")*(IFERROR(VLOOKUP('Workout Log'!G$4:G$500,'Exercise Library'!$B$4:$C$200,2,FALSE()),"")=A7))+SUMPRODUCT(('Workout Log'!$A$4:$A$500&gt;=TODAY()-30)*('Workout Log'!$A$4:$A$500&lt;&gt;"")*(IFERROR(VLOOKUP('Workout Log'!G$4:G$500,'Exercise Library'!$B$4:$D$200,3,FALSE()),"")=A7))+SUMPRODUCT(('Workout Log'!$A$4:$A$500&gt;=TODAY()-30)*('Workout Log'!$A$4:$A$500&lt;&gt;"")*(IFERROR(VLOOKUP('Workout Log'!H$4:H$500,'Exercise Library'!$B$4:$C$200,2,FALSE()),"")=A7))+SUMPRODUCT(('Workout Log'!$A$4:$A$500&gt;=TODAY()-30)*('Workout Log'!$A$4:$A$500&lt;&gt;"")*(IFERROR(VLOOKUP('Workout Log'!H$4:H$500,'Exercise Library'!$B$4:$D$200,3,FALSE()),"")=A7))+SUMPRODUCT(('Workout Log'!$A$4:$A$500&gt;=TODAY()-30)*('Workout Log'!$A$4:$A$500&lt;&gt;"")*(IFERROR(VLOOKUP('Workout Log'!I$4:I$500,'Exercise Library'!$B$4:$C$200,2,FALSE()),"")=A7))+SUMPRODUCT(('Workout Log'!$A$4:$A$500&gt;=TODAY()-30)*('Workout Log'!$A$4:$A$500&lt;&gt;"")*(IFERROR(VLOOKUP('Workout Log'!I$4:I$500,'Exercise Library'!$B$4:$D$200,3,FALSE()),"")=A7))+SUMPRODUCT(('Workout Log'!$A$4:$A$500&gt;=TODAY()-30)*('Workout Log'!$A$4:$A$500&lt;&gt;"")*(IFERROR(VLOOKUP('Workout Log'!J$4:J$500,'Exercise Library'!$B$4:$C$200,2,FALSE()),"")=A7))+SUMPRODUCT(('Workout Log'!$A$4:$A$500&gt;=TODAY()-30)*('Workout Log'!$A$4:$A$500&lt;&gt;"")*(IFERROR(VLOOKUP('Workout Log'!J$4:J$500,'Exercise Library'!$B$4:$D$200,3,FALSE()),"")=A7))+SUMPRODUCT(('Workout Log'!$A$4:$A$500&gt;=TODAY()-30)*('Workout Log'!$A$4:$A$500&lt;&gt;"")*(IFERROR(VLOOKUP('Workout Log'!K$4:K$500,'Exercise Library'!$B$4:$C$200,2,FALSE()),"")=A7))+SUMPRODUCT(('Workout Log'!$A$4:$A$500&gt;=TODAY()-30)*('Workout Log'!$A$4:$A$500&lt;&gt;"")*(IFERROR(VLOOKUP('Workout Log'!K$4:K$500,'Exercise Library'!$B$4:$D$200,3,FALSE()),"")=A7))+SUMPRODUCT(('Workout Log'!$A$4:$A$500&gt;=TODAY()-30)*('Workout Log'!$A$4:$A$500&lt;&gt;"")*(IFERROR(VLOOKUP('Workout Log'!L$4:L$500,'Exercise Library'!$B$4:$C$200,2,FALSE()),"")=A7))+SUMPRODUCT(('Workout Log'!$A$4:$A$500&gt;=TODAY()-30)*('Workout Log'!$A$4:$A$500&lt;&gt;"")*(IFERROR(VLOOKUP('Workout Log'!L$4:L$500,'Exercise Library'!$B$4:$D$200,3,FALSE()),"")=A7))+SUMPRODUCT(('Workout Log'!$A$4:$A$500&gt;=TODAY()-30)*('Workout Log'!$A$4:$A$500&lt;&gt;"")*(IFERROR(VLOOKUP('Workout Log'!M$4:M$500,'Exercise Library'!$B$4:$C$200,2,FALSE()),"")=A7))+SUMPRODUCT(('Workout Log'!$A$4:$A$500&gt;=TODAY()-30)*('Workout Log'!$A$4:$A$500&lt;&gt;"")*(IFERROR(VLOOKUP('Workout Log'!M$4:M$500,'Exercise Library'!$B$4:$D$200,3,FALSE()),"")=A7))</f>
        <v>0</v>
      </c>
      <c r="E7" s="14" t="n">
        <f aca="false">SUMPRODUCT(('Workout Log'!$A$4:$A$500&gt;0)*('Workout Log'!$A$4:$A$500&lt;&gt;"")*(IFERROR(VLOOKUP('Workout Log'!F$4:F$500,'Exercise Library'!$B$4:$C$200,2,FALSE()),"")=A7))+SUMPRODUCT(('Workout Log'!$A$4:$A$500&gt;0)*('Workout Log'!$A$4:$A$500&lt;&gt;"")*(IFERROR(VLOOKUP('Workout Log'!F$4:F$500,'Exercise Library'!$B$4:$D$200,3,FALSE()),"")=A7))+SUMPRODUCT(('Workout Log'!$A$4:$A$500&gt;0)*('Workout Log'!$A$4:$A$500&lt;&gt;"")*(IFERROR(VLOOKUP('Workout Log'!G$4:G$500,'Exercise Library'!$B$4:$C$200,2,FALSE()),"")=A7))+SUMPRODUCT(('Workout Log'!$A$4:$A$500&gt;0)*('Workout Log'!$A$4:$A$500&lt;&gt;"")*(IFERROR(VLOOKUP('Workout Log'!G$4:G$500,'Exercise Library'!$B$4:$D$200,3,FALSE()),"")=A7))+SUMPRODUCT(('Workout Log'!$A$4:$A$500&gt;0)*('Workout Log'!$A$4:$A$500&lt;&gt;"")*(IFERROR(VLOOKUP('Workout Log'!H$4:H$500,'Exercise Library'!$B$4:$C$200,2,FALSE()),"")=A7))+SUMPRODUCT(('Workout Log'!$A$4:$A$500&gt;0)*('Workout Log'!$A$4:$A$500&lt;&gt;"")*(IFERROR(VLOOKUP('Workout Log'!H$4:H$500,'Exercise Library'!$B$4:$D$200,3,FALSE()),"")=A7))+SUMPRODUCT(('Workout Log'!$A$4:$A$500&gt;0)*('Workout Log'!$A$4:$A$500&lt;&gt;"")*(IFERROR(VLOOKUP('Workout Log'!I$4:I$500,'Exercise Library'!$B$4:$C$200,2,FALSE()),"")=A7))+SUMPRODUCT(('Workout Log'!$A$4:$A$500&gt;0)*('Workout Log'!$A$4:$A$500&lt;&gt;"")*(IFERROR(VLOOKUP('Workout Log'!I$4:I$500,'Exercise Library'!$B$4:$D$200,3,FALSE()),"")=A7))+SUMPRODUCT(('Workout Log'!$A$4:$A$500&gt;0)*('Workout Log'!$A$4:$A$500&lt;&gt;"")*(IFERROR(VLOOKUP('Workout Log'!J$4:J$500,'Exercise Library'!$B$4:$C$200,2,FALSE()),"")=A7))+SUMPRODUCT(('Workout Log'!$A$4:$A$500&gt;0)*('Workout Log'!$A$4:$A$500&lt;&gt;"")*(IFERROR(VLOOKUP('Workout Log'!J$4:J$500,'Exercise Library'!$B$4:$D$200,3,FALSE()),"")=A7))+SUMPRODUCT(('Workout Log'!$A$4:$A$500&gt;0)*('Workout Log'!$A$4:$A$500&lt;&gt;"")*(IFERROR(VLOOKUP('Workout Log'!K$4:K$500,'Exercise Library'!$B$4:$C$200,2,FALSE()),"")=A7))+SUMPRODUCT(('Workout Log'!$A$4:$A$500&gt;0)*('Workout Log'!$A$4:$A$500&lt;&gt;"")*(IFERROR(VLOOKUP('Workout Log'!K$4:K$500,'Exercise Library'!$B$4:$D$200,3,FALSE()),"")=A7))+SUMPRODUCT(('Workout Log'!$A$4:$A$500&gt;0)*('Workout Log'!$A$4:$A$500&lt;&gt;"")*(IFERROR(VLOOKUP('Workout Log'!L$4:L$500,'Exercise Library'!$B$4:$C$200,2,FALSE()),"")=A7))+SUMPRODUCT(('Workout Log'!$A$4:$A$500&gt;0)*('Workout Log'!$A$4:$A$500&lt;&gt;"")*(IFERROR(VLOOKUP('Workout Log'!L$4:L$500,'Exercise Library'!$B$4:$D$200,3,FALSE()),"")=A7))+SUMPRODUCT(('Workout Log'!$A$4:$A$500&gt;0)*('Workout Log'!$A$4:$A$500&lt;&gt;"")*(IFERROR(VLOOKUP('Workout Log'!M$4:M$500,'Exercise Library'!$B$4:$C$200,2,FALSE()),"")=A7))+SUMPRODUCT(('Workout Log'!$A$4:$A$500&gt;0)*('Workout Log'!$A$4:$A$500&lt;&gt;"")*(IFERROR(VLOOKUP('Workout Log'!M$4:M$500,'Exercise Library'!$B$4:$D$200,3,FALSE()),"")=A7))</f>
        <v>0</v>
      </c>
      <c r="F7" s="14" t="str">
        <f aca="true">IF(E7=0,"Never",IFERROR(TODAY()-MAX(B7*0+TODAY()-7),"N/A"))</f>
        <v>Never</v>
      </c>
      <c r="G7" s="24" t="n">
        <v>2</v>
      </c>
      <c r="H7" s="14" t="n">
        <f aca="false">MAX(0, G7-B7)</f>
        <v>2</v>
      </c>
    </row>
    <row r="8" customFormat="false" ht="15" hidden="false" customHeight="false" outlineLevel="0" collapsed="false">
      <c r="A8" s="16" t="s">
        <v>63</v>
      </c>
      <c r="B8" s="16" t="n">
        <f aca="true">SUMPRODUCT(('Workout Log'!$A$4:$A$500&gt;=TODAY()-7)*('Workout Log'!$A$4:$A$500&lt;&gt;"")*(IFERROR(VLOOKUP('Workout Log'!F$4:F$500,'Exercise Library'!$B$4:$C$200,2,FALSE()),"")=A8))+SUMPRODUCT(('Workout Log'!$A$4:$A$500&gt;=TODAY()-7)*('Workout Log'!$A$4:$A$500&lt;&gt;"")*(IFERROR(VLOOKUP('Workout Log'!F$4:F$500,'Exercise Library'!$B$4:$D$200,3,FALSE()),"")=A8))+SUMPRODUCT(('Workout Log'!$A$4:$A$500&gt;=TODAY()-7)*('Workout Log'!$A$4:$A$500&lt;&gt;"")*(IFERROR(VLOOKUP('Workout Log'!G$4:G$500,'Exercise Library'!$B$4:$C$200,2,FALSE()),"")=A8))+SUMPRODUCT(('Workout Log'!$A$4:$A$500&gt;=TODAY()-7)*('Workout Log'!$A$4:$A$500&lt;&gt;"")*(IFERROR(VLOOKUP('Workout Log'!G$4:G$500,'Exercise Library'!$B$4:$D$200,3,FALSE()),"")=A8))+SUMPRODUCT(('Workout Log'!$A$4:$A$500&gt;=TODAY()-7)*('Workout Log'!$A$4:$A$500&lt;&gt;"")*(IFERROR(VLOOKUP('Workout Log'!H$4:H$500,'Exercise Library'!$B$4:$C$200,2,FALSE()),"")=A8))+SUMPRODUCT(('Workout Log'!$A$4:$A$500&gt;=TODAY()-7)*('Workout Log'!$A$4:$A$500&lt;&gt;"")*(IFERROR(VLOOKUP('Workout Log'!H$4:H$500,'Exercise Library'!$B$4:$D$200,3,FALSE()),"")=A8))+SUMPRODUCT(('Workout Log'!$A$4:$A$500&gt;=TODAY()-7)*('Workout Log'!$A$4:$A$500&lt;&gt;"")*(IFERROR(VLOOKUP('Workout Log'!I$4:I$500,'Exercise Library'!$B$4:$C$200,2,FALSE()),"")=A8))+SUMPRODUCT(('Workout Log'!$A$4:$A$500&gt;=TODAY()-7)*('Workout Log'!$A$4:$A$500&lt;&gt;"")*(IFERROR(VLOOKUP('Workout Log'!I$4:I$500,'Exercise Library'!$B$4:$D$200,3,FALSE()),"")=A8))+SUMPRODUCT(('Workout Log'!$A$4:$A$500&gt;=TODAY()-7)*('Workout Log'!$A$4:$A$500&lt;&gt;"")*(IFERROR(VLOOKUP('Workout Log'!J$4:J$500,'Exercise Library'!$B$4:$C$200,2,FALSE()),"")=A8))+SUMPRODUCT(('Workout Log'!$A$4:$A$500&gt;=TODAY()-7)*('Workout Log'!$A$4:$A$500&lt;&gt;"")*(IFERROR(VLOOKUP('Workout Log'!J$4:J$500,'Exercise Library'!$B$4:$D$200,3,FALSE()),"")=A8))+SUMPRODUCT(('Workout Log'!$A$4:$A$500&gt;=TODAY()-7)*('Workout Log'!$A$4:$A$500&lt;&gt;"")*(IFERROR(VLOOKUP('Workout Log'!K$4:K$500,'Exercise Library'!$B$4:$C$200,2,FALSE()),"")=A8))+SUMPRODUCT(('Workout Log'!$A$4:$A$500&gt;=TODAY()-7)*('Workout Log'!$A$4:$A$500&lt;&gt;"")*(IFERROR(VLOOKUP('Workout Log'!K$4:K$500,'Exercise Library'!$B$4:$D$200,3,FALSE()),"")=A8))+SUMPRODUCT(('Workout Log'!$A$4:$A$500&gt;=TODAY()-7)*('Workout Log'!$A$4:$A$500&lt;&gt;"")*(IFERROR(VLOOKUP('Workout Log'!L$4:L$500,'Exercise Library'!$B$4:$C$200,2,FALSE()),"")=A8))+SUMPRODUCT(('Workout Log'!$A$4:$A$500&gt;=TODAY()-7)*('Workout Log'!$A$4:$A$500&lt;&gt;"")*(IFERROR(VLOOKUP('Workout Log'!L$4:L$500,'Exercise Library'!$B$4:$D$200,3,FALSE()),"")=A8))+SUMPRODUCT(('Workout Log'!$A$4:$A$500&gt;=TODAY()-7)*('Workout Log'!$A$4:$A$500&lt;&gt;"")*(IFERROR(VLOOKUP('Workout Log'!M$4:M$500,'Exercise Library'!$B$4:$C$200,2,FALSE()),"")=A8))+SUMPRODUCT(('Workout Log'!$A$4:$A$500&gt;=TODAY()-7)*('Workout Log'!$A$4:$A$500&lt;&gt;"")*(IFERROR(VLOOKUP('Workout Log'!M$4:M$500,'Exercise Library'!$B$4:$D$200,3,FALSE()),"")=A8))</f>
        <v>0</v>
      </c>
      <c r="C8" s="16" t="n">
        <f aca="true">SUMPRODUCT(('Workout Log'!$A$4:$A$500&gt;=TODAY()-14)*('Workout Log'!$A$4:$A$500&lt;&gt;"")*(IFERROR(VLOOKUP('Workout Log'!F$4:F$500,'Exercise Library'!$B$4:$C$200,2,FALSE()),"")=A8))+SUMPRODUCT(('Workout Log'!$A$4:$A$500&gt;=TODAY()-14)*('Workout Log'!$A$4:$A$500&lt;&gt;"")*(IFERROR(VLOOKUP('Workout Log'!F$4:F$500,'Exercise Library'!$B$4:$D$200,3,FALSE()),"")=A8))+SUMPRODUCT(('Workout Log'!$A$4:$A$500&gt;=TODAY()-14)*('Workout Log'!$A$4:$A$500&lt;&gt;"")*(IFERROR(VLOOKUP('Workout Log'!G$4:G$500,'Exercise Library'!$B$4:$C$200,2,FALSE()),"")=A8))+SUMPRODUCT(('Workout Log'!$A$4:$A$500&gt;=TODAY()-14)*('Workout Log'!$A$4:$A$500&lt;&gt;"")*(IFERROR(VLOOKUP('Workout Log'!G$4:G$500,'Exercise Library'!$B$4:$D$200,3,FALSE()),"")=A8))+SUMPRODUCT(('Workout Log'!$A$4:$A$500&gt;=TODAY()-14)*('Workout Log'!$A$4:$A$500&lt;&gt;"")*(IFERROR(VLOOKUP('Workout Log'!H$4:H$500,'Exercise Library'!$B$4:$C$200,2,FALSE()),"")=A8))+SUMPRODUCT(('Workout Log'!$A$4:$A$500&gt;=TODAY()-14)*('Workout Log'!$A$4:$A$500&lt;&gt;"")*(IFERROR(VLOOKUP('Workout Log'!H$4:H$500,'Exercise Library'!$B$4:$D$200,3,FALSE()),"")=A8))+SUMPRODUCT(('Workout Log'!$A$4:$A$500&gt;=TODAY()-14)*('Workout Log'!$A$4:$A$500&lt;&gt;"")*(IFERROR(VLOOKUP('Workout Log'!I$4:I$500,'Exercise Library'!$B$4:$C$200,2,FALSE()),"")=A8))+SUMPRODUCT(('Workout Log'!$A$4:$A$500&gt;=TODAY()-14)*('Workout Log'!$A$4:$A$500&lt;&gt;"")*(IFERROR(VLOOKUP('Workout Log'!I$4:I$500,'Exercise Library'!$B$4:$D$200,3,FALSE()),"")=A8))+SUMPRODUCT(('Workout Log'!$A$4:$A$500&gt;=TODAY()-14)*('Workout Log'!$A$4:$A$500&lt;&gt;"")*(IFERROR(VLOOKUP('Workout Log'!J$4:J$500,'Exercise Library'!$B$4:$C$200,2,FALSE()),"")=A8))+SUMPRODUCT(('Workout Log'!$A$4:$A$500&gt;=TODAY()-14)*('Workout Log'!$A$4:$A$500&lt;&gt;"")*(IFERROR(VLOOKUP('Workout Log'!J$4:J$500,'Exercise Library'!$B$4:$D$200,3,FALSE()),"")=A8))+SUMPRODUCT(('Workout Log'!$A$4:$A$500&gt;=TODAY()-14)*('Workout Log'!$A$4:$A$500&lt;&gt;"")*(IFERROR(VLOOKUP('Workout Log'!K$4:K$500,'Exercise Library'!$B$4:$C$200,2,FALSE()),"")=A8))+SUMPRODUCT(('Workout Log'!$A$4:$A$500&gt;=TODAY()-14)*('Workout Log'!$A$4:$A$500&lt;&gt;"")*(IFERROR(VLOOKUP('Workout Log'!K$4:K$500,'Exercise Library'!$B$4:$D$200,3,FALSE()),"")=A8))+SUMPRODUCT(('Workout Log'!$A$4:$A$500&gt;=TODAY()-14)*('Workout Log'!$A$4:$A$500&lt;&gt;"")*(IFERROR(VLOOKUP('Workout Log'!L$4:L$500,'Exercise Library'!$B$4:$C$200,2,FALSE()),"")=A8))+SUMPRODUCT(('Workout Log'!$A$4:$A$500&gt;=TODAY()-14)*('Workout Log'!$A$4:$A$500&lt;&gt;"")*(IFERROR(VLOOKUP('Workout Log'!L$4:L$500,'Exercise Library'!$B$4:$D$200,3,FALSE()),"")=A8))+SUMPRODUCT(('Workout Log'!$A$4:$A$500&gt;=TODAY()-14)*('Workout Log'!$A$4:$A$500&lt;&gt;"")*(IFERROR(VLOOKUP('Workout Log'!M$4:M$500,'Exercise Library'!$B$4:$C$200,2,FALSE()),"")=A8))+SUMPRODUCT(('Workout Log'!$A$4:$A$500&gt;=TODAY()-14)*('Workout Log'!$A$4:$A$500&lt;&gt;"")*(IFERROR(VLOOKUP('Workout Log'!M$4:M$500,'Exercise Library'!$B$4:$D$200,3,FALSE()),"")=A8))</f>
        <v>0</v>
      </c>
      <c r="D8" s="16" t="n">
        <f aca="true">SUMPRODUCT(('Workout Log'!$A$4:$A$500&gt;=TODAY()-30)*('Workout Log'!$A$4:$A$500&lt;&gt;"")*(IFERROR(VLOOKUP('Workout Log'!F$4:F$500,'Exercise Library'!$B$4:$C$200,2,FALSE()),"")=A8))+SUMPRODUCT(('Workout Log'!$A$4:$A$500&gt;=TODAY()-30)*('Workout Log'!$A$4:$A$500&lt;&gt;"")*(IFERROR(VLOOKUP('Workout Log'!F$4:F$500,'Exercise Library'!$B$4:$D$200,3,FALSE()),"")=A8))+SUMPRODUCT(('Workout Log'!$A$4:$A$500&gt;=TODAY()-30)*('Workout Log'!$A$4:$A$500&lt;&gt;"")*(IFERROR(VLOOKUP('Workout Log'!G$4:G$500,'Exercise Library'!$B$4:$C$200,2,FALSE()),"")=A8))+SUMPRODUCT(('Workout Log'!$A$4:$A$500&gt;=TODAY()-30)*('Workout Log'!$A$4:$A$500&lt;&gt;"")*(IFERROR(VLOOKUP('Workout Log'!G$4:G$500,'Exercise Library'!$B$4:$D$200,3,FALSE()),"")=A8))+SUMPRODUCT(('Workout Log'!$A$4:$A$500&gt;=TODAY()-30)*('Workout Log'!$A$4:$A$500&lt;&gt;"")*(IFERROR(VLOOKUP('Workout Log'!H$4:H$500,'Exercise Library'!$B$4:$C$200,2,FALSE()),"")=A8))+SUMPRODUCT(('Workout Log'!$A$4:$A$500&gt;=TODAY()-30)*('Workout Log'!$A$4:$A$500&lt;&gt;"")*(IFERROR(VLOOKUP('Workout Log'!H$4:H$500,'Exercise Library'!$B$4:$D$200,3,FALSE()),"")=A8))+SUMPRODUCT(('Workout Log'!$A$4:$A$500&gt;=TODAY()-30)*('Workout Log'!$A$4:$A$500&lt;&gt;"")*(IFERROR(VLOOKUP('Workout Log'!I$4:I$500,'Exercise Library'!$B$4:$C$200,2,FALSE()),"")=A8))+SUMPRODUCT(('Workout Log'!$A$4:$A$500&gt;=TODAY()-30)*('Workout Log'!$A$4:$A$500&lt;&gt;"")*(IFERROR(VLOOKUP('Workout Log'!I$4:I$500,'Exercise Library'!$B$4:$D$200,3,FALSE()),"")=A8))+SUMPRODUCT(('Workout Log'!$A$4:$A$500&gt;=TODAY()-30)*('Workout Log'!$A$4:$A$500&lt;&gt;"")*(IFERROR(VLOOKUP('Workout Log'!J$4:J$500,'Exercise Library'!$B$4:$C$200,2,FALSE()),"")=A8))+SUMPRODUCT(('Workout Log'!$A$4:$A$500&gt;=TODAY()-30)*('Workout Log'!$A$4:$A$500&lt;&gt;"")*(IFERROR(VLOOKUP('Workout Log'!J$4:J$500,'Exercise Library'!$B$4:$D$200,3,FALSE()),"")=A8))+SUMPRODUCT(('Workout Log'!$A$4:$A$500&gt;=TODAY()-30)*('Workout Log'!$A$4:$A$500&lt;&gt;"")*(IFERROR(VLOOKUP('Workout Log'!K$4:K$500,'Exercise Library'!$B$4:$C$200,2,FALSE()),"")=A8))+SUMPRODUCT(('Workout Log'!$A$4:$A$500&gt;=TODAY()-30)*('Workout Log'!$A$4:$A$500&lt;&gt;"")*(IFERROR(VLOOKUP('Workout Log'!K$4:K$500,'Exercise Library'!$B$4:$D$200,3,FALSE()),"")=A8))+SUMPRODUCT(('Workout Log'!$A$4:$A$500&gt;=TODAY()-30)*('Workout Log'!$A$4:$A$500&lt;&gt;"")*(IFERROR(VLOOKUP('Workout Log'!L$4:L$500,'Exercise Library'!$B$4:$C$200,2,FALSE()),"")=A8))+SUMPRODUCT(('Workout Log'!$A$4:$A$500&gt;=TODAY()-30)*('Workout Log'!$A$4:$A$500&lt;&gt;"")*(IFERROR(VLOOKUP('Workout Log'!L$4:L$500,'Exercise Library'!$B$4:$D$200,3,FALSE()),"")=A8))+SUMPRODUCT(('Workout Log'!$A$4:$A$500&gt;=TODAY()-30)*('Workout Log'!$A$4:$A$500&lt;&gt;"")*(IFERROR(VLOOKUP('Workout Log'!M$4:M$500,'Exercise Library'!$B$4:$C$200,2,FALSE()),"")=A8))+SUMPRODUCT(('Workout Log'!$A$4:$A$500&gt;=TODAY()-30)*('Workout Log'!$A$4:$A$500&lt;&gt;"")*(IFERROR(VLOOKUP('Workout Log'!M$4:M$500,'Exercise Library'!$B$4:$D$200,3,FALSE()),"")=A8))</f>
        <v>0</v>
      </c>
      <c r="E8" s="16" t="n">
        <f aca="false">SUMPRODUCT(('Workout Log'!$A$4:$A$500&gt;0)*('Workout Log'!$A$4:$A$500&lt;&gt;"")*(IFERROR(VLOOKUP('Workout Log'!F$4:F$500,'Exercise Library'!$B$4:$C$200,2,FALSE()),"")=A8))+SUMPRODUCT(('Workout Log'!$A$4:$A$500&gt;0)*('Workout Log'!$A$4:$A$500&lt;&gt;"")*(IFERROR(VLOOKUP('Workout Log'!F$4:F$500,'Exercise Library'!$B$4:$D$200,3,FALSE()),"")=A8))+SUMPRODUCT(('Workout Log'!$A$4:$A$500&gt;0)*('Workout Log'!$A$4:$A$500&lt;&gt;"")*(IFERROR(VLOOKUP('Workout Log'!G$4:G$500,'Exercise Library'!$B$4:$C$200,2,FALSE()),"")=A8))+SUMPRODUCT(('Workout Log'!$A$4:$A$500&gt;0)*('Workout Log'!$A$4:$A$500&lt;&gt;"")*(IFERROR(VLOOKUP('Workout Log'!G$4:G$500,'Exercise Library'!$B$4:$D$200,3,FALSE()),"")=A8))+SUMPRODUCT(('Workout Log'!$A$4:$A$500&gt;0)*('Workout Log'!$A$4:$A$500&lt;&gt;"")*(IFERROR(VLOOKUP('Workout Log'!H$4:H$500,'Exercise Library'!$B$4:$C$200,2,FALSE()),"")=A8))+SUMPRODUCT(('Workout Log'!$A$4:$A$500&gt;0)*('Workout Log'!$A$4:$A$500&lt;&gt;"")*(IFERROR(VLOOKUP('Workout Log'!H$4:H$500,'Exercise Library'!$B$4:$D$200,3,FALSE()),"")=A8))+SUMPRODUCT(('Workout Log'!$A$4:$A$500&gt;0)*('Workout Log'!$A$4:$A$500&lt;&gt;"")*(IFERROR(VLOOKUP('Workout Log'!I$4:I$500,'Exercise Library'!$B$4:$C$200,2,FALSE()),"")=A8))+SUMPRODUCT(('Workout Log'!$A$4:$A$500&gt;0)*('Workout Log'!$A$4:$A$500&lt;&gt;"")*(IFERROR(VLOOKUP('Workout Log'!I$4:I$500,'Exercise Library'!$B$4:$D$200,3,FALSE()),"")=A8))+SUMPRODUCT(('Workout Log'!$A$4:$A$500&gt;0)*('Workout Log'!$A$4:$A$500&lt;&gt;"")*(IFERROR(VLOOKUP('Workout Log'!J$4:J$500,'Exercise Library'!$B$4:$C$200,2,FALSE()),"")=A8))+SUMPRODUCT(('Workout Log'!$A$4:$A$500&gt;0)*('Workout Log'!$A$4:$A$500&lt;&gt;"")*(IFERROR(VLOOKUP('Workout Log'!J$4:J$500,'Exercise Library'!$B$4:$D$200,3,FALSE()),"")=A8))+SUMPRODUCT(('Workout Log'!$A$4:$A$500&gt;0)*('Workout Log'!$A$4:$A$500&lt;&gt;"")*(IFERROR(VLOOKUP('Workout Log'!K$4:K$500,'Exercise Library'!$B$4:$C$200,2,FALSE()),"")=A8))+SUMPRODUCT(('Workout Log'!$A$4:$A$500&gt;0)*('Workout Log'!$A$4:$A$500&lt;&gt;"")*(IFERROR(VLOOKUP('Workout Log'!K$4:K$500,'Exercise Library'!$B$4:$D$200,3,FALSE()),"")=A8))+SUMPRODUCT(('Workout Log'!$A$4:$A$500&gt;0)*('Workout Log'!$A$4:$A$500&lt;&gt;"")*(IFERROR(VLOOKUP('Workout Log'!L$4:L$500,'Exercise Library'!$B$4:$C$200,2,FALSE()),"")=A8))+SUMPRODUCT(('Workout Log'!$A$4:$A$500&gt;0)*('Workout Log'!$A$4:$A$500&lt;&gt;"")*(IFERROR(VLOOKUP('Workout Log'!L$4:L$500,'Exercise Library'!$B$4:$D$200,3,FALSE()),"")=A8))+SUMPRODUCT(('Workout Log'!$A$4:$A$500&gt;0)*('Workout Log'!$A$4:$A$500&lt;&gt;"")*(IFERROR(VLOOKUP('Workout Log'!M$4:M$500,'Exercise Library'!$B$4:$C$200,2,FALSE()),"")=A8))+SUMPRODUCT(('Workout Log'!$A$4:$A$500&gt;0)*('Workout Log'!$A$4:$A$500&lt;&gt;"")*(IFERROR(VLOOKUP('Workout Log'!M$4:M$500,'Exercise Library'!$B$4:$D$200,3,FALSE()),"")=A8))</f>
        <v>0</v>
      </c>
      <c r="F8" s="16" t="str">
        <f aca="true">IF(E8=0,"Never",IFERROR(TODAY()-MAX(B8*0+TODAY()-7),"N/A"))</f>
        <v>Never</v>
      </c>
      <c r="G8" s="24" t="n">
        <v>2</v>
      </c>
      <c r="H8" s="16" t="n">
        <f aca="false">MAX(0, G8-B8)</f>
        <v>2</v>
      </c>
    </row>
    <row r="9" customFormat="false" ht="15" hidden="false" customHeight="false" outlineLevel="0" collapsed="false">
      <c r="A9" s="14" t="s">
        <v>85</v>
      </c>
      <c r="B9" s="14" t="n">
        <f aca="true">SUMPRODUCT(('Workout Log'!$A$4:$A$500&gt;=TODAY()-7)*('Workout Log'!$A$4:$A$500&lt;&gt;"")*(IFERROR(VLOOKUP('Workout Log'!F$4:F$500,'Exercise Library'!$B$4:$C$200,2,FALSE()),"")=A9))+SUMPRODUCT(('Workout Log'!$A$4:$A$500&gt;=TODAY()-7)*('Workout Log'!$A$4:$A$500&lt;&gt;"")*(IFERROR(VLOOKUP('Workout Log'!F$4:F$500,'Exercise Library'!$B$4:$D$200,3,FALSE()),"")=A9))+SUMPRODUCT(('Workout Log'!$A$4:$A$500&gt;=TODAY()-7)*('Workout Log'!$A$4:$A$500&lt;&gt;"")*(IFERROR(VLOOKUP('Workout Log'!G$4:G$500,'Exercise Library'!$B$4:$C$200,2,FALSE()),"")=A9))+SUMPRODUCT(('Workout Log'!$A$4:$A$500&gt;=TODAY()-7)*('Workout Log'!$A$4:$A$500&lt;&gt;"")*(IFERROR(VLOOKUP('Workout Log'!G$4:G$500,'Exercise Library'!$B$4:$D$200,3,FALSE()),"")=A9))+SUMPRODUCT(('Workout Log'!$A$4:$A$500&gt;=TODAY()-7)*('Workout Log'!$A$4:$A$500&lt;&gt;"")*(IFERROR(VLOOKUP('Workout Log'!H$4:H$500,'Exercise Library'!$B$4:$C$200,2,FALSE()),"")=A9))+SUMPRODUCT(('Workout Log'!$A$4:$A$500&gt;=TODAY()-7)*('Workout Log'!$A$4:$A$500&lt;&gt;"")*(IFERROR(VLOOKUP('Workout Log'!H$4:H$500,'Exercise Library'!$B$4:$D$200,3,FALSE()),"")=A9))+SUMPRODUCT(('Workout Log'!$A$4:$A$500&gt;=TODAY()-7)*('Workout Log'!$A$4:$A$500&lt;&gt;"")*(IFERROR(VLOOKUP('Workout Log'!I$4:I$500,'Exercise Library'!$B$4:$C$200,2,FALSE()),"")=A9))+SUMPRODUCT(('Workout Log'!$A$4:$A$500&gt;=TODAY()-7)*('Workout Log'!$A$4:$A$500&lt;&gt;"")*(IFERROR(VLOOKUP('Workout Log'!I$4:I$500,'Exercise Library'!$B$4:$D$200,3,FALSE()),"")=A9))+SUMPRODUCT(('Workout Log'!$A$4:$A$500&gt;=TODAY()-7)*('Workout Log'!$A$4:$A$500&lt;&gt;"")*(IFERROR(VLOOKUP('Workout Log'!J$4:J$500,'Exercise Library'!$B$4:$C$200,2,FALSE()),"")=A9))+SUMPRODUCT(('Workout Log'!$A$4:$A$500&gt;=TODAY()-7)*('Workout Log'!$A$4:$A$500&lt;&gt;"")*(IFERROR(VLOOKUP('Workout Log'!J$4:J$500,'Exercise Library'!$B$4:$D$200,3,FALSE()),"")=A9))+SUMPRODUCT(('Workout Log'!$A$4:$A$500&gt;=TODAY()-7)*('Workout Log'!$A$4:$A$500&lt;&gt;"")*(IFERROR(VLOOKUP('Workout Log'!K$4:K$500,'Exercise Library'!$B$4:$C$200,2,FALSE()),"")=A9))+SUMPRODUCT(('Workout Log'!$A$4:$A$500&gt;=TODAY()-7)*('Workout Log'!$A$4:$A$500&lt;&gt;"")*(IFERROR(VLOOKUP('Workout Log'!K$4:K$500,'Exercise Library'!$B$4:$D$200,3,FALSE()),"")=A9))+SUMPRODUCT(('Workout Log'!$A$4:$A$500&gt;=TODAY()-7)*('Workout Log'!$A$4:$A$500&lt;&gt;"")*(IFERROR(VLOOKUP('Workout Log'!L$4:L$500,'Exercise Library'!$B$4:$C$200,2,FALSE()),"")=A9))+SUMPRODUCT(('Workout Log'!$A$4:$A$500&gt;=TODAY()-7)*('Workout Log'!$A$4:$A$500&lt;&gt;"")*(IFERROR(VLOOKUP('Workout Log'!L$4:L$500,'Exercise Library'!$B$4:$D$200,3,FALSE()),"")=A9))+SUMPRODUCT(('Workout Log'!$A$4:$A$500&gt;=TODAY()-7)*('Workout Log'!$A$4:$A$500&lt;&gt;"")*(IFERROR(VLOOKUP('Workout Log'!M$4:M$500,'Exercise Library'!$B$4:$C$200,2,FALSE()),"")=A9))+SUMPRODUCT(('Workout Log'!$A$4:$A$500&gt;=TODAY()-7)*('Workout Log'!$A$4:$A$500&lt;&gt;"")*(IFERROR(VLOOKUP('Workout Log'!M$4:M$500,'Exercise Library'!$B$4:$D$200,3,FALSE()),"")=A9))</f>
        <v>0</v>
      </c>
      <c r="C9" s="14" t="n">
        <f aca="true">SUMPRODUCT(('Workout Log'!$A$4:$A$500&gt;=TODAY()-14)*('Workout Log'!$A$4:$A$500&lt;&gt;"")*(IFERROR(VLOOKUP('Workout Log'!F$4:F$500,'Exercise Library'!$B$4:$C$200,2,FALSE()),"")=A9))+SUMPRODUCT(('Workout Log'!$A$4:$A$500&gt;=TODAY()-14)*('Workout Log'!$A$4:$A$500&lt;&gt;"")*(IFERROR(VLOOKUP('Workout Log'!F$4:F$500,'Exercise Library'!$B$4:$D$200,3,FALSE()),"")=A9))+SUMPRODUCT(('Workout Log'!$A$4:$A$500&gt;=TODAY()-14)*('Workout Log'!$A$4:$A$500&lt;&gt;"")*(IFERROR(VLOOKUP('Workout Log'!G$4:G$500,'Exercise Library'!$B$4:$C$200,2,FALSE()),"")=A9))+SUMPRODUCT(('Workout Log'!$A$4:$A$500&gt;=TODAY()-14)*('Workout Log'!$A$4:$A$500&lt;&gt;"")*(IFERROR(VLOOKUP('Workout Log'!G$4:G$500,'Exercise Library'!$B$4:$D$200,3,FALSE()),"")=A9))+SUMPRODUCT(('Workout Log'!$A$4:$A$500&gt;=TODAY()-14)*('Workout Log'!$A$4:$A$500&lt;&gt;"")*(IFERROR(VLOOKUP('Workout Log'!H$4:H$500,'Exercise Library'!$B$4:$C$200,2,FALSE()),"")=A9))+SUMPRODUCT(('Workout Log'!$A$4:$A$500&gt;=TODAY()-14)*('Workout Log'!$A$4:$A$500&lt;&gt;"")*(IFERROR(VLOOKUP('Workout Log'!H$4:H$500,'Exercise Library'!$B$4:$D$200,3,FALSE()),"")=A9))+SUMPRODUCT(('Workout Log'!$A$4:$A$500&gt;=TODAY()-14)*('Workout Log'!$A$4:$A$500&lt;&gt;"")*(IFERROR(VLOOKUP('Workout Log'!I$4:I$500,'Exercise Library'!$B$4:$C$200,2,FALSE()),"")=A9))+SUMPRODUCT(('Workout Log'!$A$4:$A$500&gt;=TODAY()-14)*('Workout Log'!$A$4:$A$500&lt;&gt;"")*(IFERROR(VLOOKUP('Workout Log'!I$4:I$500,'Exercise Library'!$B$4:$D$200,3,FALSE()),"")=A9))+SUMPRODUCT(('Workout Log'!$A$4:$A$500&gt;=TODAY()-14)*('Workout Log'!$A$4:$A$500&lt;&gt;"")*(IFERROR(VLOOKUP('Workout Log'!J$4:J$500,'Exercise Library'!$B$4:$C$200,2,FALSE()),"")=A9))+SUMPRODUCT(('Workout Log'!$A$4:$A$500&gt;=TODAY()-14)*('Workout Log'!$A$4:$A$500&lt;&gt;"")*(IFERROR(VLOOKUP('Workout Log'!J$4:J$500,'Exercise Library'!$B$4:$D$200,3,FALSE()),"")=A9))+SUMPRODUCT(('Workout Log'!$A$4:$A$500&gt;=TODAY()-14)*('Workout Log'!$A$4:$A$500&lt;&gt;"")*(IFERROR(VLOOKUP('Workout Log'!K$4:K$500,'Exercise Library'!$B$4:$C$200,2,FALSE()),"")=A9))+SUMPRODUCT(('Workout Log'!$A$4:$A$500&gt;=TODAY()-14)*('Workout Log'!$A$4:$A$500&lt;&gt;"")*(IFERROR(VLOOKUP('Workout Log'!K$4:K$500,'Exercise Library'!$B$4:$D$200,3,FALSE()),"")=A9))+SUMPRODUCT(('Workout Log'!$A$4:$A$500&gt;=TODAY()-14)*('Workout Log'!$A$4:$A$500&lt;&gt;"")*(IFERROR(VLOOKUP('Workout Log'!L$4:L$500,'Exercise Library'!$B$4:$C$200,2,FALSE()),"")=A9))+SUMPRODUCT(('Workout Log'!$A$4:$A$500&gt;=TODAY()-14)*('Workout Log'!$A$4:$A$500&lt;&gt;"")*(IFERROR(VLOOKUP('Workout Log'!L$4:L$500,'Exercise Library'!$B$4:$D$200,3,FALSE()),"")=A9))+SUMPRODUCT(('Workout Log'!$A$4:$A$500&gt;=TODAY()-14)*('Workout Log'!$A$4:$A$500&lt;&gt;"")*(IFERROR(VLOOKUP('Workout Log'!M$4:M$500,'Exercise Library'!$B$4:$C$200,2,FALSE()),"")=A9))+SUMPRODUCT(('Workout Log'!$A$4:$A$500&gt;=TODAY()-14)*('Workout Log'!$A$4:$A$500&lt;&gt;"")*(IFERROR(VLOOKUP('Workout Log'!M$4:M$500,'Exercise Library'!$B$4:$D$200,3,FALSE()),"")=A9))</f>
        <v>0</v>
      </c>
      <c r="D9" s="14" t="n">
        <f aca="true">SUMPRODUCT(('Workout Log'!$A$4:$A$500&gt;=TODAY()-30)*('Workout Log'!$A$4:$A$500&lt;&gt;"")*(IFERROR(VLOOKUP('Workout Log'!F$4:F$500,'Exercise Library'!$B$4:$C$200,2,FALSE()),"")=A9))+SUMPRODUCT(('Workout Log'!$A$4:$A$500&gt;=TODAY()-30)*('Workout Log'!$A$4:$A$500&lt;&gt;"")*(IFERROR(VLOOKUP('Workout Log'!F$4:F$500,'Exercise Library'!$B$4:$D$200,3,FALSE()),"")=A9))+SUMPRODUCT(('Workout Log'!$A$4:$A$500&gt;=TODAY()-30)*('Workout Log'!$A$4:$A$500&lt;&gt;"")*(IFERROR(VLOOKUP('Workout Log'!G$4:G$500,'Exercise Library'!$B$4:$C$200,2,FALSE()),"")=A9))+SUMPRODUCT(('Workout Log'!$A$4:$A$500&gt;=TODAY()-30)*('Workout Log'!$A$4:$A$500&lt;&gt;"")*(IFERROR(VLOOKUP('Workout Log'!G$4:G$500,'Exercise Library'!$B$4:$D$200,3,FALSE()),"")=A9))+SUMPRODUCT(('Workout Log'!$A$4:$A$500&gt;=TODAY()-30)*('Workout Log'!$A$4:$A$500&lt;&gt;"")*(IFERROR(VLOOKUP('Workout Log'!H$4:H$500,'Exercise Library'!$B$4:$C$200,2,FALSE()),"")=A9))+SUMPRODUCT(('Workout Log'!$A$4:$A$500&gt;=TODAY()-30)*('Workout Log'!$A$4:$A$500&lt;&gt;"")*(IFERROR(VLOOKUP('Workout Log'!H$4:H$500,'Exercise Library'!$B$4:$D$200,3,FALSE()),"")=A9))+SUMPRODUCT(('Workout Log'!$A$4:$A$500&gt;=TODAY()-30)*('Workout Log'!$A$4:$A$500&lt;&gt;"")*(IFERROR(VLOOKUP('Workout Log'!I$4:I$500,'Exercise Library'!$B$4:$C$200,2,FALSE()),"")=A9))+SUMPRODUCT(('Workout Log'!$A$4:$A$500&gt;=TODAY()-30)*('Workout Log'!$A$4:$A$500&lt;&gt;"")*(IFERROR(VLOOKUP('Workout Log'!I$4:I$500,'Exercise Library'!$B$4:$D$200,3,FALSE()),"")=A9))+SUMPRODUCT(('Workout Log'!$A$4:$A$500&gt;=TODAY()-30)*('Workout Log'!$A$4:$A$500&lt;&gt;"")*(IFERROR(VLOOKUP('Workout Log'!J$4:J$500,'Exercise Library'!$B$4:$C$200,2,FALSE()),"")=A9))+SUMPRODUCT(('Workout Log'!$A$4:$A$500&gt;=TODAY()-30)*('Workout Log'!$A$4:$A$500&lt;&gt;"")*(IFERROR(VLOOKUP('Workout Log'!J$4:J$500,'Exercise Library'!$B$4:$D$200,3,FALSE()),"")=A9))+SUMPRODUCT(('Workout Log'!$A$4:$A$500&gt;=TODAY()-30)*('Workout Log'!$A$4:$A$500&lt;&gt;"")*(IFERROR(VLOOKUP('Workout Log'!K$4:K$500,'Exercise Library'!$B$4:$C$200,2,FALSE()),"")=A9))+SUMPRODUCT(('Workout Log'!$A$4:$A$500&gt;=TODAY()-30)*('Workout Log'!$A$4:$A$500&lt;&gt;"")*(IFERROR(VLOOKUP('Workout Log'!K$4:K$500,'Exercise Library'!$B$4:$D$200,3,FALSE()),"")=A9))+SUMPRODUCT(('Workout Log'!$A$4:$A$500&gt;=TODAY()-30)*('Workout Log'!$A$4:$A$500&lt;&gt;"")*(IFERROR(VLOOKUP('Workout Log'!L$4:L$500,'Exercise Library'!$B$4:$C$200,2,FALSE()),"")=A9))+SUMPRODUCT(('Workout Log'!$A$4:$A$500&gt;=TODAY()-30)*('Workout Log'!$A$4:$A$500&lt;&gt;"")*(IFERROR(VLOOKUP('Workout Log'!L$4:L$500,'Exercise Library'!$B$4:$D$200,3,FALSE()),"")=A9))+SUMPRODUCT(('Workout Log'!$A$4:$A$500&gt;=TODAY()-30)*('Workout Log'!$A$4:$A$500&lt;&gt;"")*(IFERROR(VLOOKUP('Workout Log'!M$4:M$500,'Exercise Library'!$B$4:$C$200,2,FALSE()),"")=A9))+SUMPRODUCT(('Workout Log'!$A$4:$A$500&gt;=TODAY()-30)*('Workout Log'!$A$4:$A$500&lt;&gt;"")*(IFERROR(VLOOKUP('Workout Log'!M$4:M$500,'Exercise Library'!$B$4:$D$200,3,FALSE()),"")=A9))</f>
        <v>0</v>
      </c>
      <c r="E9" s="14" t="n">
        <f aca="false">SUMPRODUCT(('Workout Log'!$A$4:$A$500&gt;0)*('Workout Log'!$A$4:$A$500&lt;&gt;"")*(IFERROR(VLOOKUP('Workout Log'!F$4:F$500,'Exercise Library'!$B$4:$C$200,2,FALSE()),"")=A9))+SUMPRODUCT(('Workout Log'!$A$4:$A$500&gt;0)*('Workout Log'!$A$4:$A$500&lt;&gt;"")*(IFERROR(VLOOKUP('Workout Log'!F$4:F$500,'Exercise Library'!$B$4:$D$200,3,FALSE()),"")=A9))+SUMPRODUCT(('Workout Log'!$A$4:$A$500&gt;0)*('Workout Log'!$A$4:$A$500&lt;&gt;"")*(IFERROR(VLOOKUP('Workout Log'!G$4:G$500,'Exercise Library'!$B$4:$C$200,2,FALSE()),"")=A9))+SUMPRODUCT(('Workout Log'!$A$4:$A$500&gt;0)*('Workout Log'!$A$4:$A$500&lt;&gt;"")*(IFERROR(VLOOKUP('Workout Log'!G$4:G$500,'Exercise Library'!$B$4:$D$200,3,FALSE()),"")=A9))+SUMPRODUCT(('Workout Log'!$A$4:$A$500&gt;0)*('Workout Log'!$A$4:$A$500&lt;&gt;"")*(IFERROR(VLOOKUP('Workout Log'!H$4:H$500,'Exercise Library'!$B$4:$C$200,2,FALSE()),"")=A9))+SUMPRODUCT(('Workout Log'!$A$4:$A$500&gt;0)*('Workout Log'!$A$4:$A$500&lt;&gt;"")*(IFERROR(VLOOKUP('Workout Log'!H$4:H$500,'Exercise Library'!$B$4:$D$200,3,FALSE()),"")=A9))+SUMPRODUCT(('Workout Log'!$A$4:$A$500&gt;0)*('Workout Log'!$A$4:$A$500&lt;&gt;"")*(IFERROR(VLOOKUP('Workout Log'!I$4:I$500,'Exercise Library'!$B$4:$C$200,2,FALSE()),"")=A9))+SUMPRODUCT(('Workout Log'!$A$4:$A$500&gt;0)*('Workout Log'!$A$4:$A$500&lt;&gt;"")*(IFERROR(VLOOKUP('Workout Log'!I$4:I$500,'Exercise Library'!$B$4:$D$200,3,FALSE()),"")=A9))+SUMPRODUCT(('Workout Log'!$A$4:$A$500&gt;0)*('Workout Log'!$A$4:$A$500&lt;&gt;"")*(IFERROR(VLOOKUP('Workout Log'!J$4:J$500,'Exercise Library'!$B$4:$C$200,2,FALSE()),"")=A9))+SUMPRODUCT(('Workout Log'!$A$4:$A$500&gt;0)*('Workout Log'!$A$4:$A$500&lt;&gt;"")*(IFERROR(VLOOKUP('Workout Log'!J$4:J$500,'Exercise Library'!$B$4:$D$200,3,FALSE()),"")=A9))+SUMPRODUCT(('Workout Log'!$A$4:$A$500&gt;0)*('Workout Log'!$A$4:$A$500&lt;&gt;"")*(IFERROR(VLOOKUP('Workout Log'!K$4:K$500,'Exercise Library'!$B$4:$C$200,2,FALSE()),"")=A9))+SUMPRODUCT(('Workout Log'!$A$4:$A$500&gt;0)*('Workout Log'!$A$4:$A$500&lt;&gt;"")*(IFERROR(VLOOKUP('Workout Log'!K$4:K$500,'Exercise Library'!$B$4:$D$200,3,FALSE()),"")=A9))+SUMPRODUCT(('Workout Log'!$A$4:$A$500&gt;0)*('Workout Log'!$A$4:$A$500&lt;&gt;"")*(IFERROR(VLOOKUP('Workout Log'!L$4:L$500,'Exercise Library'!$B$4:$C$200,2,FALSE()),"")=A9))+SUMPRODUCT(('Workout Log'!$A$4:$A$500&gt;0)*('Workout Log'!$A$4:$A$500&lt;&gt;"")*(IFERROR(VLOOKUP('Workout Log'!L$4:L$500,'Exercise Library'!$B$4:$D$200,3,FALSE()),"")=A9))+SUMPRODUCT(('Workout Log'!$A$4:$A$500&gt;0)*('Workout Log'!$A$4:$A$500&lt;&gt;"")*(IFERROR(VLOOKUP('Workout Log'!M$4:M$500,'Exercise Library'!$B$4:$C$200,2,FALSE()),"")=A9))+SUMPRODUCT(('Workout Log'!$A$4:$A$500&gt;0)*('Workout Log'!$A$4:$A$500&lt;&gt;"")*(IFERROR(VLOOKUP('Workout Log'!M$4:M$500,'Exercise Library'!$B$4:$D$200,3,FALSE()),"")=A9))</f>
        <v>0</v>
      </c>
      <c r="F9" s="14" t="str">
        <f aca="true">IF(E9=0,"Never",IFERROR(TODAY()-MAX(B9*0+TODAY()-7),"N/A"))</f>
        <v>Never</v>
      </c>
      <c r="G9" s="24" t="n">
        <v>2</v>
      </c>
      <c r="H9" s="14" t="n">
        <f aca="false">MAX(0, G9-B9)</f>
        <v>2</v>
      </c>
    </row>
    <row r="10" customFormat="false" ht="15" hidden="false" customHeight="false" outlineLevel="0" collapsed="false">
      <c r="A10" s="16" t="s">
        <v>43</v>
      </c>
      <c r="B10" s="16" t="n">
        <f aca="true">SUMPRODUCT(('Workout Log'!$A$4:$A$500&gt;=TODAY()-7)*('Workout Log'!$A$4:$A$500&lt;&gt;"")*(IFERROR(VLOOKUP('Workout Log'!F$4:F$500,'Exercise Library'!$B$4:$C$200,2,FALSE()),"")=A10))+SUMPRODUCT(('Workout Log'!$A$4:$A$500&gt;=TODAY()-7)*('Workout Log'!$A$4:$A$500&lt;&gt;"")*(IFERROR(VLOOKUP('Workout Log'!F$4:F$500,'Exercise Library'!$B$4:$D$200,3,FALSE()),"")=A10))+SUMPRODUCT(('Workout Log'!$A$4:$A$500&gt;=TODAY()-7)*('Workout Log'!$A$4:$A$500&lt;&gt;"")*(IFERROR(VLOOKUP('Workout Log'!G$4:G$500,'Exercise Library'!$B$4:$C$200,2,FALSE()),"")=A10))+SUMPRODUCT(('Workout Log'!$A$4:$A$500&gt;=TODAY()-7)*('Workout Log'!$A$4:$A$500&lt;&gt;"")*(IFERROR(VLOOKUP('Workout Log'!G$4:G$500,'Exercise Library'!$B$4:$D$200,3,FALSE()),"")=A10))+SUMPRODUCT(('Workout Log'!$A$4:$A$500&gt;=TODAY()-7)*('Workout Log'!$A$4:$A$500&lt;&gt;"")*(IFERROR(VLOOKUP('Workout Log'!H$4:H$500,'Exercise Library'!$B$4:$C$200,2,FALSE()),"")=A10))+SUMPRODUCT(('Workout Log'!$A$4:$A$500&gt;=TODAY()-7)*('Workout Log'!$A$4:$A$500&lt;&gt;"")*(IFERROR(VLOOKUP('Workout Log'!H$4:H$500,'Exercise Library'!$B$4:$D$200,3,FALSE()),"")=A10))+SUMPRODUCT(('Workout Log'!$A$4:$A$500&gt;=TODAY()-7)*('Workout Log'!$A$4:$A$500&lt;&gt;"")*(IFERROR(VLOOKUP('Workout Log'!I$4:I$500,'Exercise Library'!$B$4:$C$200,2,FALSE()),"")=A10))+SUMPRODUCT(('Workout Log'!$A$4:$A$500&gt;=TODAY()-7)*('Workout Log'!$A$4:$A$500&lt;&gt;"")*(IFERROR(VLOOKUP('Workout Log'!I$4:I$500,'Exercise Library'!$B$4:$D$200,3,FALSE()),"")=A10))+SUMPRODUCT(('Workout Log'!$A$4:$A$500&gt;=TODAY()-7)*('Workout Log'!$A$4:$A$500&lt;&gt;"")*(IFERROR(VLOOKUP('Workout Log'!J$4:J$500,'Exercise Library'!$B$4:$C$200,2,FALSE()),"")=A10))+SUMPRODUCT(('Workout Log'!$A$4:$A$500&gt;=TODAY()-7)*('Workout Log'!$A$4:$A$500&lt;&gt;"")*(IFERROR(VLOOKUP('Workout Log'!J$4:J$500,'Exercise Library'!$B$4:$D$200,3,FALSE()),"")=A10))+SUMPRODUCT(('Workout Log'!$A$4:$A$500&gt;=TODAY()-7)*('Workout Log'!$A$4:$A$500&lt;&gt;"")*(IFERROR(VLOOKUP('Workout Log'!K$4:K$500,'Exercise Library'!$B$4:$C$200,2,FALSE()),"")=A10))+SUMPRODUCT(('Workout Log'!$A$4:$A$500&gt;=TODAY()-7)*('Workout Log'!$A$4:$A$500&lt;&gt;"")*(IFERROR(VLOOKUP('Workout Log'!K$4:K$500,'Exercise Library'!$B$4:$D$200,3,FALSE()),"")=A10))+SUMPRODUCT(('Workout Log'!$A$4:$A$500&gt;=TODAY()-7)*('Workout Log'!$A$4:$A$500&lt;&gt;"")*(IFERROR(VLOOKUP('Workout Log'!L$4:L$500,'Exercise Library'!$B$4:$C$200,2,FALSE()),"")=A10))+SUMPRODUCT(('Workout Log'!$A$4:$A$500&gt;=TODAY()-7)*('Workout Log'!$A$4:$A$500&lt;&gt;"")*(IFERROR(VLOOKUP('Workout Log'!L$4:L$500,'Exercise Library'!$B$4:$D$200,3,FALSE()),"")=A10))+SUMPRODUCT(('Workout Log'!$A$4:$A$500&gt;=TODAY()-7)*('Workout Log'!$A$4:$A$500&lt;&gt;"")*(IFERROR(VLOOKUP('Workout Log'!M$4:M$500,'Exercise Library'!$B$4:$C$200,2,FALSE()),"")=A10))+SUMPRODUCT(('Workout Log'!$A$4:$A$500&gt;=TODAY()-7)*('Workout Log'!$A$4:$A$500&lt;&gt;"")*(IFERROR(VLOOKUP('Workout Log'!M$4:M$500,'Exercise Library'!$B$4:$D$200,3,FALSE()),"")=A10))</f>
        <v>0</v>
      </c>
      <c r="C10" s="16" t="n">
        <f aca="true">SUMPRODUCT(('Workout Log'!$A$4:$A$500&gt;=TODAY()-14)*('Workout Log'!$A$4:$A$500&lt;&gt;"")*(IFERROR(VLOOKUP('Workout Log'!F$4:F$500,'Exercise Library'!$B$4:$C$200,2,FALSE()),"")=A10))+SUMPRODUCT(('Workout Log'!$A$4:$A$500&gt;=TODAY()-14)*('Workout Log'!$A$4:$A$500&lt;&gt;"")*(IFERROR(VLOOKUP('Workout Log'!F$4:F$500,'Exercise Library'!$B$4:$D$200,3,FALSE()),"")=A10))+SUMPRODUCT(('Workout Log'!$A$4:$A$500&gt;=TODAY()-14)*('Workout Log'!$A$4:$A$500&lt;&gt;"")*(IFERROR(VLOOKUP('Workout Log'!G$4:G$500,'Exercise Library'!$B$4:$C$200,2,FALSE()),"")=A10))+SUMPRODUCT(('Workout Log'!$A$4:$A$500&gt;=TODAY()-14)*('Workout Log'!$A$4:$A$500&lt;&gt;"")*(IFERROR(VLOOKUP('Workout Log'!G$4:G$500,'Exercise Library'!$B$4:$D$200,3,FALSE()),"")=A10))+SUMPRODUCT(('Workout Log'!$A$4:$A$500&gt;=TODAY()-14)*('Workout Log'!$A$4:$A$500&lt;&gt;"")*(IFERROR(VLOOKUP('Workout Log'!H$4:H$500,'Exercise Library'!$B$4:$C$200,2,FALSE()),"")=A10))+SUMPRODUCT(('Workout Log'!$A$4:$A$500&gt;=TODAY()-14)*('Workout Log'!$A$4:$A$500&lt;&gt;"")*(IFERROR(VLOOKUP('Workout Log'!H$4:H$500,'Exercise Library'!$B$4:$D$200,3,FALSE()),"")=A10))+SUMPRODUCT(('Workout Log'!$A$4:$A$500&gt;=TODAY()-14)*('Workout Log'!$A$4:$A$500&lt;&gt;"")*(IFERROR(VLOOKUP('Workout Log'!I$4:I$500,'Exercise Library'!$B$4:$C$200,2,FALSE()),"")=A10))+SUMPRODUCT(('Workout Log'!$A$4:$A$500&gt;=TODAY()-14)*('Workout Log'!$A$4:$A$500&lt;&gt;"")*(IFERROR(VLOOKUP('Workout Log'!I$4:I$500,'Exercise Library'!$B$4:$D$200,3,FALSE()),"")=A10))+SUMPRODUCT(('Workout Log'!$A$4:$A$500&gt;=TODAY()-14)*('Workout Log'!$A$4:$A$500&lt;&gt;"")*(IFERROR(VLOOKUP('Workout Log'!J$4:J$500,'Exercise Library'!$B$4:$C$200,2,FALSE()),"")=A10))+SUMPRODUCT(('Workout Log'!$A$4:$A$500&gt;=TODAY()-14)*('Workout Log'!$A$4:$A$500&lt;&gt;"")*(IFERROR(VLOOKUP('Workout Log'!J$4:J$500,'Exercise Library'!$B$4:$D$200,3,FALSE()),"")=A10))+SUMPRODUCT(('Workout Log'!$A$4:$A$500&gt;=TODAY()-14)*('Workout Log'!$A$4:$A$500&lt;&gt;"")*(IFERROR(VLOOKUP('Workout Log'!K$4:K$500,'Exercise Library'!$B$4:$C$200,2,FALSE()),"")=A10))+SUMPRODUCT(('Workout Log'!$A$4:$A$500&gt;=TODAY()-14)*('Workout Log'!$A$4:$A$500&lt;&gt;"")*(IFERROR(VLOOKUP('Workout Log'!K$4:K$500,'Exercise Library'!$B$4:$D$200,3,FALSE()),"")=A10))+SUMPRODUCT(('Workout Log'!$A$4:$A$500&gt;=TODAY()-14)*('Workout Log'!$A$4:$A$500&lt;&gt;"")*(IFERROR(VLOOKUP('Workout Log'!L$4:L$500,'Exercise Library'!$B$4:$C$200,2,FALSE()),"")=A10))+SUMPRODUCT(('Workout Log'!$A$4:$A$500&gt;=TODAY()-14)*('Workout Log'!$A$4:$A$500&lt;&gt;"")*(IFERROR(VLOOKUP('Workout Log'!L$4:L$500,'Exercise Library'!$B$4:$D$200,3,FALSE()),"")=A10))+SUMPRODUCT(('Workout Log'!$A$4:$A$500&gt;=TODAY()-14)*('Workout Log'!$A$4:$A$500&lt;&gt;"")*(IFERROR(VLOOKUP('Workout Log'!M$4:M$500,'Exercise Library'!$B$4:$C$200,2,FALSE()),"")=A10))+SUMPRODUCT(('Workout Log'!$A$4:$A$500&gt;=TODAY()-14)*('Workout Log'!$A$4:$A$500&lt;&gt;"")*(IFERROR(VLOOKUP('Workout Log'!M$4:M$500,'Exercise Library'!$B$4:$D$200,3,FALSE()),"")=A10))</f>
        <v>0</v>
      </c>
      <c r="D10" s="16" t="n">
        <f aca="true">SUMPRODUCT(('Workout Log'!$A$4:$A$500&gt;=TODAY()-30)*('Workout Log'!$A$4:$A$500&lt;&gt;"")*(IFERROR(VLOOKUP('Workout Log'!F$4:F$500,'Exercise Library'!$B$4:$C$200,2,FALSE()),"")=A10))+SUMPRODUCT(('Workout Log'!$A$4:$A$500&gt;=TODAY()-30)*('Workout Log'!$A$4:$A$500&lt;&gt;"")*(IFERROR(VLOOKUP('Workout Log'!F$4:F$500,'Exercise Library'!$B$4:$D$200,3,FALSE()),"")=A10))+SUMPRODUCT(('Workout Log'!$A$4:$A$500&gt;=TODAY()-30)*('Workout Log'!$A$4:$A$500&lt;&gt;"")*(IFERROR(VLOOKUP('Workout Log'!G$4:G$500,'Exercise Library'!$B$4:$C$200,2,FALSE()),"")=A10))+SUMPRODUCT(('Workout Log'!$A$4:$A$500&gt;=TODAY()-30)*('Workout Log'!$A$4:$A$500&lt;&gt;"")*(IFERROR(VLOOKUP('Workout Log'!G$4:G$500,'Exercise Library'!$B$4:$D$200,3,FALSE()),"")=A10))+SUMPRODUCT(('Workout Log'!$A$4:$A$500&gt;=TODAY()-30)*('Workout Log'!$A$4:$A$500&lt;&gt;"")*(IFERROR(VLOOKUP('Workout Log'!H$4:H$500,'Exercise Library'!$B$4:$C$200,2,FALSE()),"")=A10))+SUMPRODUCT(('Workout Log'!$A$4:$A$500&gt;=TODAY()-30)*('Workout Log'!$A$4:$A$500&lt;&gt;"")*(IFERROR(VLOOKUP('Workout Log'!H$4:H$500,'Exercise Library'!$B$4:$D$200,3,FALSE()),"")=A10))+SUMPRODUCT(('Workout Log'!$A$4:$A$500&gt;=TODAY()-30)*('Workout Log'!$A$4:$A$500&lt;&gt;"")*(IFERROR(VLOOKUP('Workout Log'!I$4:I$500,'Exercise Library'!$B$4:$C$200,2,FALSE()),"")=A10))+SUMPRODUCT(('Workout Log'!$A$4:$A$500&gt;=TODAY()-30)*('Workout Log'!$A$4:$A$500&lt;&gt;"")*(IFERROR(VLOOKUP('Workout Log'!I$4:I$500,'Exercise Library'!$B$4:$D$200,3,FALSE()),"")=A10))+SUMPRODUCT(('Workout Log'!$A$4:$A$500&gt;=TODAY()-30)*('Workout Log'!$A$4:$A$500&lt;&gt;"")*(IFERROR(VLOOKUP('Workout Log'!J$4:J$500,'Exercise Library'!$B$4:$C$200,2,FALSE()),"")=A10))+SUMPRODUCT(('Workout Log'!$A$4:$A$500&gt;=TODAY()-30)*('Workout Log'!$A$4:$A$500&lt;&gt;"")*(IFERROR(VLOOKUP('Workout Log'!J$4:J$500,'Exercise Library'!$B$4:$D$200,3,FALSE()),"")=A10))+SUMPRODUCT(('Workout Log'!$A$4:$A$500&gt;=TODAY()-30)*('Workout Log'!$A$4:$A$500&lt;&gt;"")*(IFERROR(VLOOKUP('Workout Log'!K$4:K$500,'Exercise Library'!$B$4:$C$200,2,FALSE()),"")=A10))+SUMPRODUCT(('Workout Log'!$A$4:$A$500&gt;=TODAY()-30)*('Workout Log'!$A$4:$A$500&lt;&gt;"")*(IFERROR(VLOOKUP('Workout Log'!K$4:K$500,'Exercise Library'!$B$4:$D$200,3,FALSE()),"")=A10))+SUMPRODUCT(('Workout Log'!$A$4:$A$500&gt;=TODAY()-30)*('Workout Log'!$A$4:$A$500&lt;&gt;"")*(IFERROR(VLOOKUP('Workout Log'!L$4:L$500,'Exercise Library'!$B$4:$C$200,2,FALSE()),"")=A10))+SUMPRODUCT(('Workout Log'!$A$4:$A$500&gt;=TODAY()-30)*('Workout Log'!$A$4:$A$500&lt;&gt;"")*(IFERROR(VLOOKUP('Workout Log'!L$4:L$500,'Exercise Library'!$B$4:$D$200,3,FALSE()),"")=A10))+SUMPRODUCT(('Workout Log'!$A$4:$A$500&gt;=TODAY()-30)*('Workout Log'!$A$4:$A$500&lt;&gt;"")*(IFERROR(VLOOKUP('Workout Log'!M$4:M$500,'Exercise Library'!$B$4:$C$200,2,FALSE()),"")=A10))+SUMPRODUCT(('Workout Log'!$A$4:$A$500&gt;=TODAY()-30)*('Workout Log'!$A$4:$A$500&lt;&gt;"")*(IFERROR(VLOOKUP('Workout Log'!M$4:M$500,'Exercise Library'!$B$4:$D$200,3,FALSE()),"")=A10))</f>
        <v>0</v>
      </c>
      <c r="E10" s="16" t="n">
        <f aca="false">SUMPRODUCT(('Workout Log'!$A$4:$A$500&gt;0)*('Workout Log'!$A$4:$A$500&lt;&gt;"")*(IFERROR(VLOOKUP('Workout Log'!F$4:F$500,'Exercise Library'!$B$4:$C$200,2,FALSE()),"")=A10))+SUMPRODUCT(('Workout Log'!$A$4:$A$500&gt;0)*('Workout Log'!$A$4:$A$500&lt;&gt;"")*(IFERROR(VLOOKUP('Workout Log'!F$4:F$500,'Exercise Library'!$B$4:$D$200,3,FALSE()),"")=A10))+SUMPRODUCT(('Workout Log'!$A$4:$A$500&gt;0)*('Workout Log'!$A$4:$A$500&lt;&gt;"")*(IFERROR(VLOOKUP('Workout Log'!G$4:G$500,'Exercise Library'!$B$4:$C$200,2,FALSE()),"")=A10))+SUMPRODUCT(('Workout Log'!$A$4:$A$500&gt;0)*('Workout Log'!$A$4:$A$500&lt;&gt;"")*(IFERROR(VLOOKUP('Workout Log'!G$4:G$500,'Exercise Library'!$B$4:$D$200,3,FALSE()),"")=A10))+SUMPRODUCT(('Workout Log'!$A$4:$A$500&gt;0)*('Workout Log'!$A$4:$A$500&lt;&gt;"")*(IFERROR(VLOOKUP('Workout Log'!H$4:H$500,'Exercise Library'!$B$4:$C$200,2,FALSE()),"")=A10))+SUMPRODUCT(('Workout Log'!$A$4:$A$500&gt;0)*('Workout Log'!$A$4:$A$500&lt;&gt;"")*(IFERROR(VLOOKUP('Workout Log'!H$4:H$500,'Exercise Library'!$B$4:$D$200,3,FALSE()),"")=A10))+SUMPRODUCT(('Workout Log'!$A$4:$A$500&gt;0)*('Workout Log'!$A$4:$A$500&lt;&gt;"")*(IFERROR(VLOOKUP('Workout Log'!I$4:I$500,'Exercise Library'!$B$4:$C$200,2,FALSE()),"")=A10))+SUMPRODUCT(('Workout Log'!$A$4:$A$500&gt;0)*('Workout Log'!$A$4:$A$500&lt;&gt;"")*(IFERROR(VLOOKUP('Workout Log'!I$4:I$500,'Exercise Library'!$B$4:$D$200,3,FALSE()),"")=A10))+SUMPRODUCT(('Workout Log'!$A$4:$A$500&gt;0)*('Workout Log'!$A$4:$A$500&lt;&gt;"")*(IFERROR(VLOOKUP('Workout Log'!J$4:J$500,'Exercise Library'!$B$4:$C$200,2,FALSE()),"")=A10))+SUMPRODUCT(('Workout Log'!$A$4:$A$500&gt;0)*('Workout Log'!$A$4:$A$500&lt;&gt;"")*(IFERROR(VLOOKUP('Workout Log'!J$4:J$500,'Exercise Library'!$B$4:$D$200,3,FALSE()),"")=A10))+SUMPRODUCT(('Workout Log'!$A$4:$A$500&gt;0)*('Workout Log'!$A$4:$A$500&lt;&gt;"")*(IFERROR(VLOOKUP('Workout Log'!K$4:K$500,'Exercise Library'!$B$4:$C$200,2,FALSE()),"")=A10))+SUMPRODUCT(('Workout Log'!$A$4:$A$500&gt;0)*('Workout Log'!$A$4:$A$500&lt;&gt;"")*(IFERROR(VLOOKUP('Workout Log'!K$4:K$500,'Exercise Library'!$B$4:$D$200,3,FALSE()),"")=A10))+SUMPRODUCT(('Workout Log'!$A$4:$A$500&gt;0)*('Workout Log'!$A$4:$A$500&lt;&gt;"")*(IFERROR(VLOOKUP('Workout Log'!L$4:L$500,'Exercise Library'!$B$4:$C$200,2,FALSE()),"")=A10))+SUMPRODUCT(('Workout Log'!$A$4:$A$500&gt;0)*('Workout Log'!$A$4:$A$500&lt;&gt;"")*(IFERROR(VLOOKUP('Workout Log'!L$4:L$500,'Exercise Library'!$B$4:$D$200,3,FALSE()),"")=A10))+SUMPRODUCT(('Workout Log'!$A$4:$A$500&gt;0)*('Workout Log'!$A$4:$A$500&lt;&gt;"")*(IFERROR(VLOOKUP('Workout Log'!M$4:M$500,'Exercise Library'!$B$4:$C$200,2,FALSE()),"")=A10))+SUMPRODUCT(('Workout Log'!$A$4:$A$500&gt;0)*('Workout Log'!$A$4:$A$500&lt;&gt;"")*(IFERROR(VLOOKUP('Workout Log'!M$4:M$500,'Exercise Library'!$B$4:$D$200,3,FALSE()),"")=A10))</f>
        <v>0</v>
      </c>
      <c r="F10" s="16" t="str">
        <f aca="true">IF(E10=0,"Never",IFERROR(TODAY()-MAX(B10*0+TODAY()-7),"N/A"))</f>
        <v>Never</v>
      </c>
      <c r="G10" s="24" t="n">
        <v>2</v>
      </c>
      <c r="H10" s="16" t="n">
        <f aca="false">MAX(0, G10-B10)</f>
        <v>2</v>
      </c>
    </row>
    <row r="11" customFormat="false" ht="15" hidden="false" customHeight="false" outlineLevel="0" collapsed="false">
      <c r="A11" s="14" t="s">
        <v>104</v>
      </c>
      <c r="B11" s="14" t="n">
        <f aca="true">SUMPRODUCT(('Workout Log'!$A$4:$A$500&gt;=TODAY()-7)*('Workout Log'!$A$4:$A$500&lt;&gt;"")*(IFERROR(VLOOKUP('Workout Log'!F$4:F$500,'Exercise Library'!$B$4:$C$200,2,FALSE()),"")=A11))+SUMPRODUCT(('Workout Log'!$A$4:$A$500&gt;=TODAY()-7)*('Workout Log'!$A$4:$A$500&lt;&gt;"")*(IFERROR(VLOOKUP('Workout Log'!F$4:F$500,'Exercise Library'!$B$4:$D$200,3,FALSE()),"")=A11))+SUMPRODUCT(('Workout Log'!$A$4:$A$500&gt;=TODAY()-7)*('Workout Log'!$A$4:$A$500&lt;&gt;"")*(IFERROR(VLOOKUP('Workout Log'!G$4:G$500,'Exercise Library'!$B$4:$C$200,2,FALSE()),"")=A11))+SUMPRODUCT(('Workout Log'!$A$4:$A$500&gt;=TODAY()-7)*('Workout Log'!$A$4:$A$500&lt;&gt;"")*(IFERROR(VLOOKUP('Workout Log'!G$4:G$500,'Exercise Library'!$B$4:$D$200,3,FALSE()),"")=A11))+SUMPRODUCT(('Workout Log'!$A$4:$A$500&gt;=TODAY()-7)*('Workout Log'!$A$4:$A$500&lt;&gt;"")*(IFERROR(VLOOKUP('Workout Log'!H$4:H$500,'Exercise Library'!$B$4:$C$200,2,FALSE()),"")=A11))+SUMPRODUCT(('Workout Log'!$A$4:$A$500&gt;=TODAY()-7)*('Workout Log'!$A$4:$A$500&lt;&gt;"")*(IFERROR(VLOOKUP('Workout Log'!H$4:H$500,'Exercise Library'!$B$4:$D$200,3,FALSE()),"")=A11))+SUMPRODUCT(('Workout Log'!$A$4:$A$500&gt;=TODAY()-7)*('Workout Log'!$A$4:$A$500&lt;&gt;"")*(IFERROR(VLOOKUP('Workout Log'!I$4:I$500,'Exercise Library'!$B$4:$C$200,2,FALSE()),"")=A11))+SUMPRODUCT(('Workout Log'!$A$4:$A$500&gt;=TODAY()-7)*('Workout Log'!$A$4:$A$500&lt;&gt;"")*(IFERROR(VLOOKUP('Workout Log'!I$4:I$500,'Exercise Library'!$B$4:$D$200,3,FALSE()),"")=A11))+SUMPRODUCT(('Workout Log'!$A$4:$A$500&gt;=TODAY()-7)*('Workout Log'!$A$4:$A$500&lt;&gt;"")*(IFERROR(VLOOKUP('Workout Log'!J$4:J$500,'Exercise Library'!$B$4:$C$200,2,FALSE()),"")=A11))+SUMPRODUCT(('Workout Log'!$A$4:$A$500&gt;=TODAY()-7)*('Workout Log'!$A$4:$A$500&lt;&gt;"")*(IFERROR(VLOOKUP('Workout Log'!J$4:J$500,'Exercise Library'!$B$4:$D$200,3,FALSE()),"")=A11))+SUMPRODUCT(('Workout Log'!$A$4:$A$500&gt;=TODAY()-7)*('Workout Log'!$A$4:$A$500&lt;&gt;"")*(IFERROR(VLOOKUP('Workout Log'!K$4:K$500,'Exercise Library'!$B$4:$C$200,2,FALSE()),"")=A11))+SUMPRODUCT(('Workout Log'!$A$4:$A$500&gt;=TODAY()-7)*('Workout Log'!$A$4:$A$500&lt;&gt;"")*(IFERROR(VLOOKUP('Workout Log'!K$4:K$500,'Exercise Library'!$B$4:$D$200,3,FALSE()),"")=A11))+SUMPRODUCT(('Workout Log'!$A$4:$A$500&gt;=TODAY()-7)*('Workout Log'!$A$4:$A$500&lt;&gt;"")*(IFERROR(VLOOKUP('Workout Log'!L$4:L$500,'Exercise Library'!$B$4:$C$200,2,FALSE()),"")=A11))+SUMPRODUCT(('Workout Log'!$A$4:$A$500&gt;=TODAY()-7)*('Workout Log'!$A$4:$A$500&lt;&gt;"")*(IFERROR(VLOOKUP('Workout Log'!L$4:L$500,'Exercise Library'!$B$4:$D$200,3,FALSE()),"")=A11))+SUMPRODUCT(('Workout Log'!$A$4:$A$500&gt;=TODAY()-7)*('Workout Log'!$A$4:$A$500&lt;&gt;"")*(IFERROR(VLOOKUP('Workout Log'!M$4:M$500,'Exercise Library'!$B$4:$C$200,2,FALSE()),"")=A11))+SUMPRODUCT(('Workout Log'!$A$4:$A$500&gt;=TODAY()-7)*('Workout Log'!$A$4:$A$500&lt;&gt;"")*(IFERROR(VLOOKUP('Workout Log'!M$4:M$500,'Exercise Library'!$B$4:$D$200,3,FALSE()),"")=A11))</f>
        <v>0</v>
      </c>
      <c r="C11" s="14" t="n">
        <f aca="true">SUMPRODUCT(('Workout Log'!$A$4:$A$500&gt;=TODAY()-14)*('Workout Log'!$A$4:$A$500&lt;&gt;"")*(IFERROR(VLOOKUP('Workout Log'!F$4:F$500,'Exercise Library'!$B$4:$C$200,2,FALSE()),"")=A11))+SUMPRODUCT(('Workout Log'!$A$4:$A$500&gt;=TODAY()-14)*('Workout Log'!$A$4:$A$500&lt;&gt;"")*(IFERROR(VLOOKUP('Workout Log'!F$4:F$500,'Exercise Library'!$B$4:$D$200,3,FALSE()),"")=A11))+SUMPRODUCT(('Workout Log'!$A$4:$A$500&gt;=TODAY()-14)*('Workout Log'!$A$4:$A$500&lt;&gt;"")*(IFERROR(VLOOKUP('Workout Log'!G$4:G$500,'Exercise Library'!$B$4:$C$200,2,FALSE()),"")=A11))+SUMPRODUCT(('Workout Log'!$A$4:$A$500&gt;=TODAY()-14)*('Workout Log'!$A$4:$A$500&lt;&gt;"")*(IFERROR(VLOOKUP('Workout Log'!G$4:G$500,'Exercise Library'!$B$4:$D$200,3,FALSE()),"")=A11))+SUMPRODUCT(('Workout Log'!$A$4:$A$500&gt;=TODAY()-14)*('Workout Log'!$A$4:$A$500&lt;&gt;"")*(IFERROR(VLOOKUP('Workout Log'!H$4:H$500,'Exercise Library'!$B$4:$C$200,2,FALSE()),"")=A11))+SUMPRODUCT(('Workout Log'!$A$4:$A$500&gt;=TODAY()-14)*('Workout Log'!$A$4:$A$500&lt;&gt;"")*(IFERROR(VLOOKUP('Workout Log'!H$4:H$500,'Exercise Library'!$B$4:$D$200,3,FALSE()),"")=A11))+SUMPRODUCT(('Workout Log'!$A$4:$A$500&gt;=TODAY()-14)*('Workout Log'!$A$4:$A$500&lt;&gt;"")*(IFERROR(VLOOKUP('Workout Log'!I$4:I$500,'Exercise Library'!$B$4:$C$200,2,FALSE()),"")=A11))+SUMPRODUCT(('Workout Log'!$A$4:$A$500&gt;=TODAY()-14)*('Workout Log'!$A$4:$A$500&lt;&gt;"")*(IFERROR(VLOOKUP('Workout Log'!I$4:I$500,'Exercise Library'!$B$4:$D$200,3,FALSE()),"")=A11))+SUMPRODUCT(('Workout Log'!$A$4:$A$500&gt;=TODAY()-14)*('Workout Log'!$A$4:$A$500&lt;&gt;"")*(IFERROR(VLOOKUP('Workout Log'!J$4:J$500,'Exercise Library'!$B$4:$C$200,2,FALSE()),"")=A11))+SUMPRODUCT(('Workout Log'!$A$4:$A$500&gt;=TODAY()-14)*('Workout Log'!$A$4:$A$500&lt;&gt;"")*(IFERROR(VLOOKUP('Workout Log'!J$4:J$500,'Exercise Library'!$B$4:$D$200,3,FALSE()),"")=A11))+SUMPRODUCT(('Workout Log'!$A$4:$A$500&gt;=TODAY()-14)*('Workout Log'!$A$4:$A$500&lt;&gt;"")*(IFERROR(VLOOKUP('Workout Log'!K$4:K$500,'Exercise Library'!$B$4:$C$200,2,FALSE()),"")=A11))+SUMPRODUCT(('Workout Log'!$A$4:$A$500&gt;=TODAY()-14)*('Workout Log'!$A$4:$A$500&lt;&gt;"")*(IFERROR(VLOOKUP('Workout Log'!K$4:K$500,'Exercise Library'!$B$4:$D$200,3,FALSE()),"")=A11))+SUMPRODUCT(('Workout Log'!$A$4:$A$500&gt;=TODAY()-14)*('Workout Log'!$A$4:$A$500&lt;&gt;"")*(IFERROR(VLOOKUP('Workout Log'!L$4:L$500,'Exercise Library'!$B$4:$C$200,2,FALSE()),"")=A11))+SUMPRODUCT(('Workout Log'!$A$4:$A$500&gt;=TODAY()-14)*('Workout Log'!$A$4:$A$500&lt;&gt;"")*(IFERROR(VLOOKUP('Workout Log'!L$4:L$500,'Exercise Library'!$B$4:$D$200,3,FALSE()),"")=A11))+SUMPRODUCT(('Workout Log'!$A$4:$A$500&gt;=TODAY()-14)*('Workout Log'!$A$4:$A$500&lt;&gt;"")*(IFERROR(VLOOKUP('Workout Log'!M$4:M$500,'Exercise Library'!$B$4:$C$200,2,FALSE()),"")=A11))+SUMPRODUCT(('Workout Log'!$A$4:$A$500&gt;=TODAY()-14)*('Workout Log'!$A$4:$A$500&lt;&gt;"")*(IFERROR(VLOOKUP('Workout Log'!M$4:M$500,'Exercise Library'!$B$4:$D$200,3,FALSE()),"")=A11))</f>
        <v>0</v>
      </c>
      <c r="D11" s="14" t="n">
        <f aca="true">SUMPRODUCT(('Workout Log'!$A$4:$A$500&gt;=TODAY()-30)*('Workout Log'!$A$4:$A$500&lt;&gt;"")*(IFERROR(VLOOKUP('Workout Log'!F$4:F$500,'Exercise Library'!$B$4:$C$200,2,FALSE()),"")=A11))+SUMPRODUCT(('Workout Log'!$A$4:$A$500&gt;=TODAY()-30)*('Workout Log'!$A$4:$A$500&lt;&gt;"")*(IFERROR(VLOOKUP('Workout Log'!F$4:F$500,'Exercise Library'!$B$4:$D$200,3,FALSE()),"")=A11))+SUMPRODUCT(('Workout Log'!$A$4:$A$500&gt;=TODAY()-30)*('Workout Log'!$A$4:$A$500&lt;&gt;"")*(IFERROR(VLOOKUP('Workout Log'!G$4:G$500,'Exercise Library'!$B$4:$C$200,2,FALSE()),"")=A11))+SUMPRODUCT(('Workout Log'!$A$4:$A$500&gt;=TODAY()-30)*('Workout Log'!$A$4:$A$500&lt;&gt;"")*(IFERROR(VLOOKUP('Workout Log'!G$4:G$500,'Exercise Library'!$B$4:$D$200,3,FALSE()),"")=A11))+SUMPRODUCT(('Workout Log'!$A$4:$A$500&gt;=TODAY()-30)*('Workout Log'!$A$4:$A$500&lt;&gt;"")*(IFERROR(VLOOKUP('Workout Log'!H$4:H$500,'Exercise Library'!$B$4:$C$200,2,FALSE()),"")=A11))+SUMPRODUCT(('Workout Log'!$A$4:$A$500&gt;=TODAY()-30)*('Workout Log'!$A$4:$A$500&lt;&gt;"")*(IFERROR(VLOOKUP('Workout Log'!H$4:H$500,'Exercise Library'!$B$4:$D$200,3,FALSE()),"")=A11))+SUMPRODUCT(('Workout Log'!$A$4:$A$500&gt;=TODAY()-30)*('Workout Log'!$A$4:$A$500&lt;&gt;"")*(IFERROR(VLOOKUP('Workout Log'!I$4:I$500,'Exercise Library'!$B$4:$C$200,2,FALSE()),"")=A11))+SUMPRODUCT(('Workout Log'!$A$4:$A$500&gt;=TODAY()-30)*('Workout Log'!$A$4:$A$500&lt;&gt;"")*(IFERROR(VLOOKUP('Workout Log'!I$4:I$500,'Exercise Library'!$B$4:$D$200,3,FALSE()),"")=A11))+SUMPRODUCT(('Workout Log'!$A$4:$A$500&gt;=TODAY()-30)*('Workout Log'!$A$4:$A$500&lt;&gt;"")*(IFERROR(VLOOKUP('Workout Log'!J$4:J$500,'Exercise Library'!$B$4:$C$200,2,FALSE()),"")=A11))+SUMPRODUCT(('Workout Log'!$A$4:$A$500&gt;=TODAY()-30)*('Workout Log'!$A$4:$A$500&lt;&gt;"")*(IFERROR(VLOOKUP('Workout Log'!J$4:J$500,'Exercise Library'!$B$4:$D$200,3,FALSE()),"")=A11))+SUMPRODUCT(('Workout Log'!$A$4:$A$500&gt;=TODAY()-30)*('Workout Log'!$A$4:$A$500&lt;&gt;"")*(IFERROR(VLOOKUP('Workout Log'!K$4:K$500,'Exercise Library'!$B$4:$C$200,2,FALSE()),"")=A11))+SUMPRODUCT(('Workout Log'!$A$4:$A$500&gt;=TODAY()-30)*('Workout Log'!$A$4:$A$500&lt;&gt;"")*(IFERROR(VLOOKUP('Workout Log'!K$4:K$500,'Exercise Library'!$B$4:$D$200,3,FALSE()),"")=A11))+SUMPRODUCT(('Workout Log'!$A$4:$A$500&gt;=TODAY()-30)*('Workout Log'!$A$4:$A$500&lt;&gt;"")*(IFERROR(VLOOKUP('Workout Log'!L$4:L$500,'Exercise Library'!$B$4:$C$200,2,FALSE()),"")=A11))+SUMPRODUCT(('Workout Log'!$A$4:$A$500&gt;=TODAY()-30)*('Workout Log'!$A$4:$A$500&lt;&gt;"")*(IFERROR(VLOOKUP('Workout Log'!L$4:L$500,'Exercise Library'!$B$4:$D$200,3,FALSE()),"")=A11))+SUMPRODUCT(('Workout Log'!$A$4:$A$500&gt;=TODAY()-30)*('Workout Log'!$A$4:$A$500&lt;&gt;"")*(IFERROR(VLOOKUP('Workout Log'!M$4:M$500,'Exercise Library'!$B$4:$C$200,2,FALSE()),"")=A11))+SUMPRODUCT(('Workout Log'!$A$4:$A$500&gt;=TODAY()-30)*('Workout Log'!$A$4:$A$500&lt;&gt;"")*(IFERROR(VLOOKUP('Workout Log'!M$4:M$500,'Exercise Library'!$B$4:$D$200,3,FALSE()),"")=A11))</f>
        <v>0</v>
      </c>
      <c r="E11" s="14" t="n">
        <f aca="false">SUMPRODUCT(('Workout Log'!$A$4:$A$500&gt;0)*('Workout Log'!$A$4:$A$500&lt;&gt;"")*(IFERROR(VLOOKUP('Workout Log'!F$4:F$500,'Exercise Library'!$B$4:$C$200,2,FALSE()),"")=A11))+SUMPRODUCT(('Workout Log'!$A$4:$A$500&gt;0)*('Workout Log'!$A$4:$A$500&lt;&gt;"")*(IFERROR(VLOOKUP('Workout Log'!F$4:F$500,'Exercise Library'!$B$4:$D$200,3,FALSE()),"")=A11))+SUMPRODUCT(('Workout Log'!$A$4:$A$500&gt;0)*('Workout Log'!$A$4:$A$500&lt;&gt;"")*(IFERROR(VLOOKUP('Workout Log'!G$4:G$500,'Exercise Library'!$B$4:$C$200,2,FALSE()),"")=A11))+SUMPRODUCT(('Workout Log'!$A$4:$A$500&gt;0)*('Workout Log'!$A$4:$A$500&lt;&gt;"")*(IFERROR(VLOOKUP('Workout Log'!G$4:G$500,'Exercise Library'!$B$4:$D$200,3,FALSE()),"")=A11))+SUMPRODUCT(('Workout Log'!$A$4:$A$500&gt;0)*('Workout Log'!$A$4:$A$500&lt;&gt;"")*(IFERROR(VLOOKUP('Workout Log'!H$4:H$500,'Exercise Library'!$B$4:$C$200,2,FALSE()),"")=A11))+SUMPRODUCT(('Workout Log'!$A$4:$A$500&gt;0)*('Workout Log'!$A$4:$A$500&lt;&gt;"")*(IFERROR(VLOOKUP('Workout Log'!H$4:H$500,'Exercise Library'!$B$4:$D$200,3,FALSE()),"")=A11))+SUMPRODUCT(('Workout Log'!$A$4:$A$500&gt;0)*('Workout Log'!$A$4:$A$500&lt;&gt;"")*(IFERROR(VLOOKUP('Workout Log'!I$4:I$500,'Exercise Library'!$B$4:$C$200,2,FALSE()),"")=A11))+SUMPRODUCT(('Workout Log'!$A$4:$A$500&gt;0)*('Workout Log'!$A$4:$A$500&lt;&gt;"")*(IFERROR(VLOOKUP('Workout Log'!I$4:I$500,'Exercise Library'!$B$4:$D$200,3,FALSE()),"")=A11))+SUMPRODUCT(('Workout Log'!$A$4:$A$500&gt;0)*('Workout Log'!$A$4:$A$500&lt;&gt;"")*(IFERROR(VLOOKUP('Workout Log'!J$4:J$500,'Exercise Library'!$B$4:$C$200,2,FALSE()),"")=A11))+SUMPRODUCT(('Workout Log'!$A$4:$A$500&gt;0)*('Workout Log'!$A$4:$A$500&lt;&gt;"")*(IFERROR(VLOOKUP('Workout Log'!J$4:J$500,'Exercise Library'!$B$4:$D$200,3,FALSE()),"")=A11))+SUMPRODUCT(('Workout Log'!$A$4:$A$500&gt;0)*('Workout Log'!$A$4:$A$500&lt;&gt;"")*(IFERROR(VLOOKUP('Workout Log'!K$4:K$500,'Exercise Library'!$B$4:$C$200,2,FALSE()),"")=A11))+SUMPRODUCT(('Workout Log'!$A$4:$A$500&gt;0)*('Workout Log'!$A$4:$A$500&lt;&gt;"")*(IFERROR(VLOOKUP('Workout Log'!K$4:K$500,'Exercise Library'!$B$4:$D$200,3,FALSE()),"")=A11))+SUMPRODUCT(('Workout Log'!$A$4:$A$500&gt;0)*('Workout Log'!$A$4:$A$500&lt;&gt;"")*(IFERROR(VLOOKUP('Workout Log'!L$4:L$500,'Exercise Library'!$B$4:$C$200,2,FALSE()),"")=A11))+SUMPRODUCT(('Workout Log'!$A$4:$A$500&gt;0)*('Workout Log'!$A$4:$A$500&lt;&gt;"")*(IFERROR(VLOOKUP('Workout Log'!L$4:L$500,'Exercise Library'!$B$4:$D$200,3,FALSE()),"")=A11))+SUMPRODUCT(('Workout Log'!$A$4:$A$500&gt;0)*('Workout Log'!$A$4:$A$500&lt;&gt;"")*(IFERROR(VLOOKUP('Workout Log'!M$4:M$500,'Exercise Library'!$B$4:$C$200,2,FALSE()),"")=A11))+SUMPRODUCT(('Workout Log'!$A$4:$A$500&gt;0)*('Workout Log'!$A$4:$A$500&lt;&gt;"")*(IFERROR(VLOOKUP('Workout Log'!M$4:M$500,'Exercise Library'!$B$4:$D$200,3,FALSE()),"")=A11))</f>
        <v>0</v>
      </c>
      <c r="F11" s="14" t="str">
        <f aca="true">IF(E11=0,"Never",IFERROR(TODAY()-MAX(B11*0+TODAY()-7),"N/A"))</f>
        <v>Never</v>
      </c>
      <c r="G11" s="24" t="n">
        <v>2</v>
      </c>
      <c r="H11" s="14" t="n">
        <f aca="false">MAX(0, G11-B11)</f>
        <v>2</v>
      </c>
    </row>
    <row r="12" customFormat="false" ht="15" hidden="false" customHeight="false" outlineLevel="0" collapsed="false">
      <c r="A12" s="16" t="s">
        <v>93</v>
      </c>
      <c r="B12" s="16" t="n">
        <f aca="true">SUMPRODUCT(('Workout Log'!$A$4:$A$500&gt;=TODAY()-7)*('Workout Log'!$A$4:$A$500&lt;&gt;"")*(IFERROR(VLOOKUP('Workout Log'!F$4:F$500,'Exercise Library'!$B$4:$C$200,2,FALSE()),"")=A12))+SUMPRODUCT(('Workout Log'!$A$4:$A$500&gt;=TODAY()-7)*('Workout Log'!$A$4:$A$500&lt;&gt;"")*(IFERROR(VLOOKUP('Workout Log'!F$4:F$500,'Exercise Library'!$B$4:$D$200,3,FALSE()),"")=A12))+SUMPRODUCT(('Workout Log'!$A$4:$A$500&gt;=TODAY()-7)*('Workout Log'!$A$4:$A$500&lt;&gt;"")*(IFERROR(VLOOKUP('Workout Log'!G$4:G$500,'Exercise Library'!$B$4:$C$200,2,FALSE()),"")=A12))+SUMPRODUCT(('Workout Log'!$A$4:$A$500&gt;=TODAY()-7)*('Workout Log'!$A$4:$A$500&lt;&gt;"")*(IFERROR(VLOOKUP('Workout Log'!G$4:G$500,'Exercise Library'!$B$4:$D$200,3,FALSE()),"")=A12))+SUMPRODUCT(('Workout Log'!$A$4:$A$500&gt;=TODAY()-7)*('Workout Log'!$A$4:$A$500&lt;&gt;"")*(IFERROR(VLOOKUP('Workout Log'!H$4:H$500,'Exercise Library'!$B$4:$C$200,2,FALSE()),"")=A12))+SUMPRODUCT(('Workout Log'!$A$4:$A$500&gt;=TODAY()-7)*('Workout Log'!$A$4:$A$500&lt;&gt;"")*(IFERROR(VLOOKUP('Workout Log'!H$4:H$500,'Exercise Library'!$B$4:$D$200,3,FALSE()),"")=A12))+SUMPRODUCT(('Workout Log'!$A$4:$A$500&gt;=TODAY()-7)*('Workout Log'!$A$4:$A$500&lt;&gt;"")*(IFERROR(VLOOKUP('Workout Log'!I$4:I$500,'Exercise Library'!$B$4:$C$200,2,FALSE()),"")=A12))+SUMPRODUCT(('Workout Log'!$A$4:$A$500&gt;=TODAY()-7)*('Workout Log'!$A$4:$A$500&lt;&gt;"")*(IFERROR(VLOOKUP('Workout Log'!I$4:I$500,'Exercise Library'!$B$4:$D$200,3,FALSE()),"")=A12))+SUMPRODUCT(('Workout Log'!$A$4:$A$500&gt;=TODAY()-7)*('Workout Log'!$A$4:$A$500&lt;&gt;"")*(IFERROR(VLOOKUP('Workout Log'!J$4:J$500,'Exercise Library'!$B$4:$C$200,2,FALSE()),"")=A12))+SUMPRODUCT(('Workout Log'!$A$4:$A$500&gt;=TODAY()-7)*('Workout Log'!$A$4:$A$500&lt;&gt;"")*(IFERROR(VLOOKUP('Workout Log'!J$4:J$500,'Exercise Library'!$B$4:$D$200,3,FALSE()),"")=A12))+SUMPRODUCT(('Workout Log'!$A$4:$A$500&gt;=TODAY()-7)*('Workout Log'!$A$4:$A$500&lt;&gt;"")*(IFERROR(VLOOKUP('Workout Log'!K$4:K$500,'Exercise Library'!$B$4:$C$200,2,FALSE()),"")=A12))+SUMPRODUCT(('Workout Log'!$A$4:$A$500&gt;=TODAY()-7)*('Workout Log'!$A$4:$A$500&lt;&gt;"")*(IFERROR(VLOOKUP('Workout Log'!K$4:K$500,'Exercise Library'!$B$4:$D$200,3,FALSE()),"")=A12))+SUMPRODUCT(('Workout Log'!$A$4:$A$500&gt;=TODAY()-7)*('Workout Log'!$A$4:$A$500&lt;&gt;"")*(IFERROR(VLOOKUP('Workout Log'!L$4:L$500,'Exercise Library'!$B$4:$C$200,2,FALSE()),"")=A12))+SUMPRODUCT(('Workout Log'!$A$4:$A$500&gt;=TODAY()-7)*('Workout Log'!$A$4:$A$500&lt;&gt;"")*(IFERROR(VLOOKUP('Workout Log'!L$4:L$500,'Exercise Library'!$B$4:$D$200,3,FALSE()),"")=A12))+SUMPRODUCT(('Workout Log'!$A$4:$A$500&gt;=TODAY()-7)*('Workout Log'!$A$4:$A$500&lt;&gt;"")*(IFERROR(VLOOKUP('Workout Log'!M$4:M$500,'Exercise Library'!$B$4:$C$200,2,FALSE()),"")=A12))+SUMPRODUCT(('Workout Log'!$A$4:$A$500&gt;=TODAY()-7)*('Workout Log'!$A$4:$A$500&lt;&gt;"")*(IFERROR(VLOOKUP('Workout Log'!M$4:M$500,'Exercise Library'!$B$4:$D$200,3,FALSE()),"")=A12))</f>
        <v>0</v>
      </c>
      <c r="C12" s="16" t="n">
        <f aca="true">SUMPRODUCT(('Workout Log'!$A$4:$A$500&gt;=TODAY()-14)*('Workout Log'!$A$4:$A$500&lt;&gt;"")*(IFERROR(VLOOKUP('Workout Log'!F$4:F$500,'Exercise Library'!$B$4:$C$200,2,FALSE()),"")=A12))+SUMPRODUCT(('Workout Log'!$A$4:$A$500&gt;=TODAY()-14)*('Workout Log'!$A$4:$A$500&lt;&gt;"")*(IFERROR(VLOOKUP('Workout Log'!F$4:F$500,'Exercise Library'!$B$4:$D$200,3,FALSE()),"")=A12))+SUMPRODUCT(('Workout Log'!$A$4:$A$500&gt;=TODAY()-14)*('Workout Log'!$A$4:$A$500&lt;&gt;"")*(IFERROR(VLOOKUP('Workout Log'!G$4:G$500,'Exercise Library'!$B$4:$C$200,2,FALSE()),"")=A12))+SUMPRODUCT(('Workout Log'!$A$4:$A$500&gt;=TODAY()-14)*('Workout Log'!$A$4:$A$500&lt;&gt;"")*(IFERROR(VLOOKUP('Workout Log'!G$4:G$500,'Exercise Library'!$B$4:$D$200,3,FALSE()),"")=A12))+SUMPRODUCT(('Workout Log'!$A$4:$A$500&gt;=TODAY()-14)*('Workout Log'!$A$4:$A$500&lt;&gt;"")*(IFERROR(VLOOKUP('Workout Log'!H$4:H$500,'Exercise Library'!$B$4:$C$200,2,FALSE()),"")=A12))+SUMPRODUCT(('Workout Log'!$A$4:$A$500&gt;=TODAY()-14)*('Workout Log'!$A$4:$A$500&lt;&gt;"")*(IFERROR(VLOOKUP('Workout Log'!H$4:H$500,'Exercise Library'!$B$4:$D$200,3,FALSE()),"")=A12))+SUMPRODUCT(('Workout Log'!$A$4:$A$500&gt;=TODAY()-14)*('Workout Log'!$A$4:$A$500&lt;&gt;"")*(IFERROR(VLOOKUP('Workout Log'!I$4:I$500,'Exercise Library'!$B$4:$C$200,2,FALSE()),"")=A12))+SUMPRODUCT(('Workout Log'!$A$4:$A$500&gt;=TODAY()-14)*('Workout Log'!$A$4:$A$500&lt;&gt;"")*(IFERROR(VLOOKUP('Workout Log'!I$4:I$500,'Exercise Library'!$B$4:$D$200,3,FALSE()),"")=A12))+SUMPRODUCT(('Workout Log'!$A$4:$A$500&gt;=TODAY()-14)*('Workout Log'!$A$4:$A$500&lt;&gt;"")*(IFERROR(VLOOKUP('Workout Log'!J$4:J$500,'Exercise Library'!$B$4:$C$200,2,FALSE()),"")=A12))+SUMPRODUCT(('Workout Log'!$A$4:$A$500&gt;=TODAY()-14)*('Workout Log'!$A$4:$A$500&lt;&gt;"")*(IFERROR(VLOOKUP('Workout Log'!J$4:J$500,'Exercise Library'!$B$4:$D$200,3,FALSE()),"")=A12))+SUMPRODUCT(('Workout Log'!$A$4:$A$500&gt;=TODAY()-14)*('Workout Log'!$A$4:$A$500&lt;&gt;"")*(IFERROR(VLOOKUP('Workout Log'!K$4:K$500,'Exercise Library'!$B$4:$C$200,2,FALSE()),"")=A12))+SUMPRODUCT(('Workout Log'!$A$4:$A$500&gt;=TODAY()-14)*('Workout Log'!$A$4:$A$500&lt;&gt;"")*(IFERROR(VLOOKUP('Workout Log'!K$4:K$500,'Exercise Library'!$B$4:$D$200,3,FALSE()),"")=A12))+SUMPRODUCT(('Workout Log'!$A$4:$A$500&gt;=TODAY()-14)*('Workout Log'!$A$4:$A$500&lt;&gt;"")*(IFERROR(VLOOKUP('Workout Log'!L$4:L$500,'Exercise Library'!$B$4:$C$200,2,FALSE()),"")=A12))+SUMPRODUCT(('Workout Log'!$A$4:$A$500&gt;=TODAY()-14)*('Workout Log'!$A$4:$A$500&lt;&gt;"")*(IFERROR(VLOOKUP('Workout Log'!L$4:L$500,'Exercise Library'!$B$4:$D$200,3,FALSE()),"")=A12))+SUMPRODUCT(('Workout Log'!$A$4:$A$500&gt;=TODAY()-14)*('Workout Log'!$A$4:$A$500&lt;&gt;"")*(IFERROR(VLOOKUP('Workout Log'!M$4:M$500,'Exercise Library'!$B$4:$C$200,2,FALSE()),"")=A12))+SUMPRODUCT(('Workout Log'!$A$4:$A$500&gt;=TODAY()-14)*('Workout Log'!$A$4:$A$500&lt;&gt;"")*(IFERROR(VLOOKUP('Workout Log'!M$4:M$500,'Exercise Library'!$B$4:$D$200,3,FALSE()),"")=A12))</f>
        <v>0</v>
      </c>
      <c r="D12" s="16" t="n">
        <f aca="true">SUMPRODUCT(('Workout Log'!$A$4:$A$500&gt;=TODAY()-30)*('Workout Log'!$A$4:$A$500&lt;&gt;"")*(IFERROR(VLOOKUP('Workout Log'!F$4:F$500,'Exercise Library'!$B$4:$C$200,2,FALSE()),"")=A12))+SUMPRODUCT(('Workout Log'!$A$4:$A$500&gt;=TODAY()-30)*('Workout Log'!$A$4:$A$500&lt;&gt;"")*(IFERROR(VLOOKUP('Workout Log'!F$4:F$500,'Exercise Library'!$B$4:$D$200,3,FALSE()),"")=A12))+SUMPRODUCT(('Workout Log'!$A$4:$A$500&gt;=TODAY()-30)*('Workout Log'!$A$4:$A$500&lt;&gt;"")*(IFERROR(VLOOKUP('Workout Log'!G$4:G$500,'Exercise Library'!$B$4:$C$200,2,FALSE()),"")=A12))+SUMPRODUCT(('Workout Log'!$A$4:$A$500&gt;=TODAY()-30)*('Workout Log'!$A$4:$A$500&lt;&gt;"")*(IFERROR(VLOOKUP('Workout Log'!G$4:G$500,'Exercise Library'!$B$4:$D$200,3,FALSE()),"")=A12))+SUMPRODUCT(('Workout Log'!$A$4:$A$500&gt;=TODAY()-30)*('Workout Log'!$A$4:$A$500&lt;&gt;"")*(IFERROR(VLOOKUP('Workout Log'!H$4:H$500,'Exercise Library'!$B$4:$C$200,2,FALSE()),"")=A12))+SUMPRODUCT(('Workout Log'!$A$4:$A$500&gt;=TODAY()-30)*('Workout Log'!$A$4:$A$500&lt;&gt;"")*(IFERROR(VLOOKUP('Workout Log'!H$4:H$500,'Exercise Library'!$B$4:$D$200,3,FALSE()),"")=A12))+SUMPRODUCT(('Workout Log'!$A$4:$A$500&gt;=TODAY()-30)*('Workout Log'!$A$4:$A$500&lt;&gt;"")*(IFERROR(VLOOKUP('Workout Log'!I$4:I$500,'Exercise Library'!$B$4:$C$200,2,FALSE()),"")=A12))+SUMPRODUCT(('Workout Log'!$A$4:$A$500&gt;=TODAY()-30)*('Workout Log'!$A$4:$A$500&lt;&gt;"")*(IFERROR(VLOOKUP('Workout Log'!I$4:I$500,'Exercise Library'!$B$4:$D$200,3,FALSE()),"")=A12))+SUMPRODUCT(('Workout Log'!$A$4:$A$500&gt;=TODAY()-30)*('Workout Log'!$A$4:$A$500&lt;&gt;"")*(IFERROR(VLOOKUP('Workout Log'!J$4:J$500,'Exercise Library'!$B$4:$C$200,2,FALSE()),"")=A12))+SUMPRODUCT(('Workout Log'!$A$4:$A$500&gt;=TODAY()-30)*('Workout Log'!$A$4:$A$500&lt;&gt;"")*(IFERROR(VLOOKUP('Workout Log'!J$4:J$500,'Exercise Library'!$B$4:$D$200,3,FALSE()),"")=A12))+SUMPRODUCT(('Workout Log'!$A$4:$A$500&gt;=TODAY()-30)*('Workout Log'!$A$4:$A$500&lt;&gt;"")*(IFERROR(VLOOKUP('Workout Log'!K$4:K$500,'Exercise Library'!$B$4:$C$200,2,FALSE()),"")=A12))+SUMPRODUCT(('Workout Log'!$A$4:$A$500&gt;=TODAY()-30)*('Workout Log'!$A$4:$A$500&lt;&gt;"")*(IFERROR(VLOOKUP('Workout Log'!K$4:K$500,'Exercise Library'!$B$4:$D$200,3,FALSE()),"")=A12))+SUMPRODUCT(('Workout Log'!$A$4:$A$500&gt;=TODAY()-30)*('Workout Log'!$A$4:$A$500&lt;&gt;"")*(IFERROR(VLOOKUP('Workout Log'!L$4:L$500,'Exercise Library'!$B$4:$C$200,2,FALSE()),"")=A12))+SUMPRODUCT(('Workout Log'!$A$4:$A$500&gt;=TODAY()-30)*('Workout Log'!$A$4:$A$500&lt;&gt;"")*(IFERROR(VLOOKUP('Workout Log'!L$4:L$500,'Exercise Library'!$B$4:$D$200,3,FALSE()),"")=A12))+SUMPRODUCT(('Workout Log'!$A$4:$A$500&gt;=TODAY()-30)*('Workout Log'!$A$4:$A$500&lt;&gt;"")*(IFERROR(VLOOKUP('Workout Log'!M$4:M$500,'Exercise Library'!$B$4:$C$200,2,FALSE()),"")=A12))+SUMPRODUCT(('Workout Log'!$A$4:$A$500&gt;=TODAY()-30)*('Workout Log'!$A$4:$A$500&lt;&gt;"")*(IFERROR(VLOOKUP('Workout Log'!M$4:M$500,'Exercise Library'!$B$4:$D$200,3,FALSE()),"")=A12))</f>
        <v>0</v>
      </c>
      <c r="E12" s="16" t="n">
        <f aca="false">SUMPRODUCT(('Workout Log'!$A$4:$A$500&gt;0)*('Workout Log'!$A$4:$A$500&lt;&gt;"")*(IFERROR(VLOOKUP('Workout Log'!F$4:F$500,'Exercise Library'!$B$4:$C$200,2,FALSE()),"")=A12))+SUMPRODUCT(('Workout Log'!$A$4:$A$500&gt;0)*('Workout Log'!$A$4:$A$500&lt;&gt;"")*(IFERROR(VLOOKUP('Workout Log'!F$4:F$500,'Exercise Library'!$B$4:$D$200,3,FALSE()),"")=A12))+SUMPRODUCT(('Workout Log'!$A$4:$A$500&gt;0)*('Workout Log'!$A$4:$A$500&lt;&gt;"")*(IFERROR(VLOOKUP('Workout Log'!G$4:G$500,'Exercise Library'!$B$4:$C$200,2,FALSE()),"")=A12))+SUMPRODUCT(('Workout Log'!$A$4:$A$500&gt;0)*('Workout Log'!$A$4:$A$500&lt;&gt;"")*(IFERROR(VLOOKUP('Workout Log'!G$4:G$500,'Exercise Library'!$B$4:$D$200,3,FALSE()),"")=A12))+SUMPRODUCT(('Workout Log'!$A$4:$A$500&gt;0)*('Workout Log'!$A$4:$A$500&lt;&gt;"")*(IFERROR(VLOOKUP('Workout Log'!H$4:H$500,'Exercise Library'!$B$4:$C$200,2,FALSE()),"")=A12))+SUMPRODUCT(('Workout Log'!$A$4:$A$500&gt;0)*('Workout Log'!$A$4:$A$500&lt;&gt;"")*(IFERROR(VLOOKUP('Workout Log'!H$4:H$500,'Exercise Library'!$B$4:$D$200,3,FALSE()),"")=A12))+SUMPRODUCT(('Workout Log'!$A$4:$A$500&gt;0)*('Workout Log'!$A$4:$A$500&lt;&gt;"")*(IFERROR(VLOOKUP('Workout Log'!I$4:I$500,'Exercise Library'!$B$4:$C$200,2,FALSE()),"")=A12))+SUMPRODUCT(('Workout Log'!$A$4:$A$500&gt;0)*('Workout Log'!$A$4:$A$500&lt;&gt;"")*(IFERROR(VLOOKUP('Workout Log'!I$4:I$500,'Exercise Library'!$B$4:$D$200,3,FALSE()),"")=A12))+SUMPRODUCT(('Workout Log'!$A$4:$A$500&gt;0)*('Workout Log'!$A$4:$A$500&lt;&gt;"")*(IFERROR(VLOOKUP('Workout Log'!J$4:J$500,'Exercise Library'!$B$4:$C$200,2,FALSE()),"")=A12))+SUMPRODUCT(('Workout Log'!$A$4:$A$500&gt;0)*('Workout Log'!$A$4:$A$500&lt;&gt;"")*(IFERROR(VLOOKUP('Workout Log'!J$4:J$500,'Exercise Library'!$B$4:$D$200,3,FALSE()),"")=A12))+SUMPRODUCT(('Workout Log'!$A$4:$A$500&gt;0)*('Workout Log'!$A$4:$A$500&lt;&gt;"")*(IFERROR(VLOOKUP('Workout Log'!K$4:K$500,'Exercise Library'!$B$4:$C$200,2,FALSE()),"")=A12))+SUMPRODUCT(('Workout Log'!$A$4:$A$500&gt;0)*('Workout Log'!$A$4:$A$500&lt;&gt;"")*(IFERROR(VLOOKUP('Workout Log'!K$4:K$500,'Exercise Library'!$B$4:$D$200,3,FALSE()),"")=A12))+SUMPRODUCT(('Workout Log'!$A$4:$A$500&gt;0)*('Workout Log'!$A$4:$A$500&lt;&gt;"")*(IFERROR(VLOOKUP('Workout Log'!L$4:L$500,'Exercise Library'!$B$4:$C$200,2,FALSE()),"")=A12))+SUMPRODUCT(('Workout Log'!$A$4:$A$500&gt;0)*('Workout Log'!$A$4:$A$500&lt;&gt;"")*(IFERROR(VLOOKUP('Workout Log'!L$4:L$500,'Exercise Library'!$B$4:$D$200,3,FALSE()),"")=A12))+SUMPRODUCT(('Workout Log'!$A$4:$A$500&gt;0)*('Workout Log'!$A$4:$A$500&lt;&gt;"")*(IFERROR(VLOOKUP('Workout Log'!M$4:M$500,'Exercise Library'!$B$4:$C$200,2,FALSE()),"")=A12))+SUMPRODUCT(('Workout Log'!$A$4:$A$500&gt;0)*('Workout Log'!$A$4:$A$500&lt;&gt;"")*(IFERROR(VLOOKUP('Workout Log'!M$4:M$500,'Exercise Library'!$B$4:$D$200,3,FALSE()),"")=A12))</f>
        <v>0</v>
      </c>
      <c r="F12" s="16" t="str">
        <f aca="true">IF(E12=0,"Never",IFERROR(TODAY()-MAX(B12*0+TODAY()-7),"N/A"))</f>
        <v>Never</v>
      </c>
      <c r="G12" s="24" t="n">
        <v>2</v>
      </c>
      <c r="H12" s="16" t="n">
        <f aca="false">MAX(0, G12-B12)</f>
        <v>2</v>
      </c>
    </row>
    <row r="13" customFormat="false" ht="15" hidden="false" customHeight="false" outlineLevel="0" collapsed="false">
      <c r="A13" s="14" t="s">
        <v>109</v>
      </c>
      <c r="B13" s="14" t="n">
        <f aca="true">SUMPRODUCT(('Workout Log'!$A$4:$A$500&gt;=TODAY()-7)*('Workout Log'!$A$4:$A$500&lt;&gt;"")*(IFERROR(VLOOKUP('Workout Log'!F$4:F$500,'Exercise Library'!$B$4:$C$200,2,FALSE()),"")=A13))+SUMPRODUCT(('Workout Log'!$A$4:$A$500&gt;=TODAY()-7)*('Workout Log'!$A$4:$A$500&lt;&gt;"")*(IFERROR(VLOOKUP('Workout Log'!F$4:F$500,'Exercise Library'!$B$4:$D$200,3,FALSE()),"")=A13))+SUMPRODUCT(('Workout Log'!$A$4:$A$500&gt;=TODAY()-7)*('Workout Log'!$A$4:$A$500&lt;&gt;"")*(IFERROR(VLOOKUP('Workout Log'!G$4:G$500,'Exercise Library'!$B$4:$C$200,2,FALSE()),"")=A13))+SUMPRODUCT(('Workout Log'!$A$4:$A$500&gt;=TODAY()-7)*('Workout Log'!$A$4:$A$500&lt;&gt;"")*(IFERROR(VLOOKUP('Workout Log'!G$4:G$500,'Exercise Library'!$B$4:$D$200,3,FALSE()),"")=A13))+SUMPRODUCT(('Workout Log'!$A$4:$A$500&gt;=TODAY()-7)*('Workout Log'!$A$4:$A$500&lt;&gt;"")*(IFERROR(VLOOKUP('Workout Log'!H$4:H$500,'Exercise Library'!$B$4:$C$200,2,FALSE()),"")=A13))+SUMPRODUCT(('Workout Log'!$A$4:$A$500&gt;=TODAY()-7)*('Workout Log'!$A$4:$A$500&lt;&gt;"")*(IFERROR(VLOOKUP('Workout Log'!H$4:H$500,'Exercise Library'!$B$4:$D$200,3,FALSE()),"")=A13))+SUMPRODUCT(('Workout Log'!$A$4:$A$500&gt;=TODAY()-7)*('Workout Log'!$A$4:$A$500&lt;&gt;"")*(IFERROR(VLOOKUP('Workout Log'!I$4:I$500,'Exercise Library'!$B$4:$C$200,2,FALSE()),"")=A13))+SUMPRODUCT(('Workout Log'!$A$4:$A$500&gt;=TODAY()-7)*('Workout Log'!$A$4:$A$500&lt;&gt;"")*(IFERROR(VLOOKUP('Workout Log'!I$4:I$500,'Exercise Library'!$B$4:$D$200,3,FALSE()),"")=A13))+SUMPRODUCT(('Workout Log'!$A$4:$A$500&gt;=TODAY()-7)*('Workout Log'!$A$4:$A$500&lt;&gt;"")*(IFERROR(VLOOKUP('Workout Log'!J$4:J$500,'Exercise Library'!$B$4:$C$200,2,FALSE()),"")=A13))+SUMPRODUCT(('Workout Log'!$A$4:$A$500&gt;=TODAY()-7)*('Workout Log'!$A$4:$A$500&lt;&gt;"")*(IFERROR(VLOOKUP('Workout Log'!J$4:J$500,'Exercise Library'!$B$4:$D$200,3,FALSE()),"")=A13))+SUMPRODUCT(('Workout Log'!$A$4:$A$500&gt;=TODAY()-7)*('Workout Log'!$A$4:$A$500&lt;&gt;"")*(IFERROR(VLOOKUP('Workout Log'!K$4:K$500,'Exercise Library'!$B$4:$C$200,2,FALSE()),"")=A13))+SUMPRODUCT(('Workout Log'!$A$4:$A$500&gt;=TODAY()-7)*('Workout Log'!$A$4:$A$500&lt;&gt;"")*(IFERROR(VLOOKUP('Workout Log'!K$4:K$500,'Exercise Library'!$B$4:$D$200,3,FALSE()),"")=A13))+SUMPRODUCT(('Workout Log'!$A$4:$A$500&gt;=TODAY()-7)*('Workout Log'!$A$4:$A$500&lt;&gt;"")*(IFERROR(VLOOKUP('Workout Log'!L$4:L$500,'Exercise Library'!$B$4:$C$200,2,FALSE()),"")=A13))+SUMPRODUCT(('Workout Log'!$A$4:$A$500&gt;=TODAY()-7)*('Workout Log'!$A$4:$A$500&lt;&gt;"")*(IFERROR(VLOOKUP('Workout Log'!L$4:L$500,'Exercise Library'!$B$4:$D$200,3,FALSE()),"")=A13))+SUMPRODUCT(('Workout Log'!$A$4:$A$500&gt;=TODAY()-7)*('Workout Log'!$A$4:$A$500&lt;&gt;"")*(IFERROR(VLOOKUP('Workout Log'!M$4:M$500,'Exercise Library'!$B$4:$C$200,2,FALSE()),"")=A13))+SUMPRODUCT(('Workout Log'!$A$4:$A$500&gt;=TODAY()-7)*('Workout Log'!$A$4:$A$500&lt;&gt;"")*(IFERROR(VLOOKUP('Workout Log'!M$4:M$500,'Exercise Library'!$B$4:$D$200,3,FALSE()),"")=A13))</f>
        <v>0</v>
      </c>
      <c r="C13" s="14" t="n">
        <f aca="true">SUMPRODUCT(('Workout Log'!$A$4:$A$500&gt;=TODAY()-14)*('Workout Log'!$A$4:$A$500&lt;&gt;"")*(IFERROR(VLOOKUP('Workout Log'!F$4:F$500,'Exercise Library'!$B$4:$C$200,2,FALSE()),"")=A13))+SUMPRODUCT(('Workout Log'!$A$4:$A$500&gt;=TODAY()-14)*('Workout Log'!$A$4:$A$500&lt;&gt;"")*(IFERROR(VLOOKUP('Workout Log'!F$4:F$500,'Exercise Library'!$B$4:$D$200,3,FALSE()),"")=A13))+SUMPRODUCT(('Workout Log'!$A$4:$A$500&gt;=TODAY()-14)*('Workout Log'!$A$4:$A$500&lt;&gt;"")*(IFERROR(VLOOKUP('Workout Log'!G$4:G$500,'Exercise Library'!$B$4:$C$200,2,FALSE()),"")=A13))+SUMPRODUCT(('Workout Log'!$A$4:$A$500&gt;=TODAY()-14)*('Workout Log'!$A$4:$A$500&lt;&gt;"")*(IFERROR(VLOOKUP('Workout Log'!G$4:G$500,'Exercise Library'!$B$4:$D$200,3,FALSE()),"")=A13))+SUMPRODUCT(('Workout Log'!$A$4:$A$500&gt;=TODAY()-14)*('Workout Log'!$A$4:$A$500&lt;&gt;"")*(IFERROR(VLOOKUP('Workout Log'!H$4:H$500,'Exercise Library'!$B$4:$C$200,2,FALSE()),"")=A13))+SUMPRODUCT(('Workout Log'!$A$4:$A$500&gt;=TODAY()-14)*('Workout Log'!$A$4:$A$500&lt;&gt;"")*(IFERROR(VLOOKUP('Workout Log'!H$4:H$500,'Exercise Library'!$B$4:$D$200,3,FALSE()),"")=A13))+SUMPRODUCT(('Workout Log'!$A$4:$A$500&gt;=TODAY()-14)*('Workout Log'!$A$4:$A$500&lt;&gt;"")*(IFERROR(VLOOKUP('Workout Log'!I$4:I$500,'Exercise Library'!$B$4:$C$200,2,FALSE()),"")=A13))+SUMPRODUCT(('Workout Log'!$A$4:$A$500&gt;=TODAY()-14)*('Workout Log'!$A$4:$A$500&lt;&gt;"")*(IFERROR(VLOOKUP('Workout Log'!I$4:I$500,'Exercise Library'!$B$4:$D$200,3,FALSE()),"")=A13))+SUMPRODUCT(('Workout Log'!$A$4:$A$500&gt;=TODAY()-14)*('Workout Log'!$A$4:$A$500&lt;&gt;"")*(IFERROR(VLOOKUP('Workout Log'!J$4:J$500,'Exercise Library'!$B$4:$C$200,2,FALSE()),"")=A13))+SUMPRODUCT(('Workout Log'!$A$4:$A$500&gt;=TODAY()-14)*('Workout Log'!$A$4:$A$500&lt;&gt;"")*(IFERROR(VLOOKUP('Workout Log'!J$4:J$500,'Exercise Library'!$B$4:$D$200,3,FALSE()),"")=A13))+SUMPRODUCT(('Workout Log'!$A$4:$A$500&gt;=TODAY()-14)*('Workout Log'!$A$4:$A$500&lt;&gt;"")*(IFERROR(VLOOKUP('Workout Log'!K$4:K$500,'Exercise Library'!$B$4:$C$200,2,FALSE()),"")=A13))+SUMPRODUCT(('Workout Log'!$A$4:$A$500&gt;=TODAY()-14)*('Workout Log'!$A$4:$A$500&lt;&gt;"")*(IFERROR(VLOOKUP('Workout Log'!K$4:K$500,'Exercise Library'!$B$4:$D$200,3,FALSE()),"")=A13))+SUMPRODUCT(('Workout Log'!$A$4:$A$500&gt;=TODAY()-14)*('Workout Log'!$A$4:$A$500&lt;&gt;"")*(IFERROR(VLOOKUP('Workout Log'!L$4:L$500,'Exercise Library'!$B$4:$C$200,2,FALSE()),"")=A13))+SUMPRODUCT(('Workout Log'!$A$4:$A$500&gt;=TODAY()-14)*('Workout Log'!$A$4:$A$500&lt;&gt;"")*(IFERROR(VLOOKUP('Workout Log'!L$4:L$500,'Exercise Library'!$B$4:$D$200,3,FALSE()),"")=A13))+SUMPRODUCT(('Workout Log'!$A$4:$A$500&gt;=TODAY()-14)*('Workout Log'!$A$4:$A$500&lt;&gt;"")*(IFERROR(VLOOKUP('Workout Log'!M$4:M$500,'Exercise Library'!$B$4:$C$200,2,FALSE()),"")=A13))+SUMPRODUCT(('Workout Log'!$A$4:$A$500&gt;=TODAY()-14)*('Workout Log'!$A$4:$A$500&lt;&gt;"")*(IFERROR(VLOOKUP('Workout Log'!M$4:M$500,'Exercise Library'!$B$4:$D$200,3,FALSE()),"")=A13))</f>
        <v>0</v>
      </c>
      <c r="D13" s="14" t="n">
        <f aca="true">SUMPRODUCT(('Workout Log'!$A$4:$A$500&gt;=TODAY()-30)*('Workout Log'!$A$4:$A$500&lt;&gt;"")*(IFERROR(VLOOKUP('Workout Log'!F$4:F$500,'Exercise Library'!$B$4:$C$200,2,FALSE()),"")=A13))+SUMPRODUCT(('Workout Log'!$A$4:$A$500&gt;=TODAY()-30)*('Workout Log'!$A$4:$A$500&lt;&gt;"")*(IFERROR(VLOOKUP('Workout Log'!F$4:F$500,'Exercise Library'!$B$4:$D$200,3,FALSE()),"")=A13))+SUMPRODUCT(('Workout Log'!$A$4:$A$500&gt;=TODAY()-30)*('Workout Log'!$A$4:$A$500&lt;&gt;"")*(IFERROR(VLOOKUP('Workout Log'!G$4:G$500,'Exercise Library'!$B$4:$C$200,2,FALSE()),"")=A13))+SUMPRODUCT(('Workout Log'!$A$4:$A$500&gt;=TODAY()-30)*('Workout Log'!$A$4:$A$500&lt;&gt;"")*(IFERROR(VLOOKUP('Workout Log'!G$4:G$500,'Exercise Library'!$B$4:$D$200,3,FALSE()),"")=A13))+SUMPRODUCT(('Workout Log'!$A$4:$A$500&gt;=TODAY()-30)*('Workout Log'!$A$4:$A$500&lt;&gt;"")*(IFERROR(VLOOKUP('Workout Log'!H$4:H$500,'Exercise Library'!$B$4:$C$200,2,FALSE()),"")=A13))+SUMPRODUCT(('Workout Log'!$A$4:$A$500&gt;=TODAY()-30)*('Workout Log'!$A$4:$A$500&lt;&gt;"")*(IFERROR(VLOOKUP('Workout Log'!H$4:H$500,'Exercise Library'!$B$4:$D$200,3,FALSE()),"")=A13))+SUMPRODUCT(('Workout Log'!$A$4:$A$500&gt;=TODAY()-30)*('Workout Log'!$A$4:$A$500&lt;&gt;"")*(IFERROR(VLOOKUP('Workout Log'!I$4:I$500,'Exercise Library'!$B$4:$C$200,2,FALSE()),"")=A13))+SUMPRODUCT(('Workout Log'!$A$4:$A$500&gt;=TODAY()-30)*('Workout Log'!$A$4:$A$500&lt;&gt;"")*(IFERROR(VLOOKUP('Workout Log'!I$4:I$500,'Exercise Library'!$B$4:$D$200,3,FALSE()),"")=A13))+SUMPRODUCT(('Workout Log'!$A$4:$A$500&gt;=TODAY()-30)*('Workout Log'!$A$4:$A$500&lt;&gt;"")*(IFERROR(VLOOKUP('Workout Log'!J$4:J$500,'Exercise Library'!$B$4:$C$200,2,FALSE()),"")=A13))+SUMPRODUCT(('Workout Log'!$A$4:$A$500&gt;=TODAY()-30)*('Workout Log'!$A$4:$A$500&lt;&gt;"")*(IFERROR(VLOOKUP('Workout Log'!J$4:J$500,'Exercise Library'!$B$4:$D$200,3,FALSE()),"")=A13))+SUMPRODUCT(('Workout Log'!$A$4:$A$500&gt;=TODAY()-30)*('Workout Log'!$A$4:$A$500&lt;&gt;"")*(IFERROR(VLOOKUP('Workout Log'!K$4:K$500,'Exercise Library'!$B$4:$C$200,2,FALSE()),"")=A13))+SUMPRODUCT(('Workout Log'!$A$4:$A$500&gt;=TODAY()-30)*('Workout Log'!$A$4:$A$500&lt;&gt;"")*(IFERROR(VLOOKUP('Workout Log'!K$4:K$500,'Exercise Library'!$B$4:$D$200,3,FALSE()),"")=A13))+SUMPRODUCT(('Workout Log'!$A$4:$A$500&gt;=TODAY()-30)*('Workout Log'!$A$4:$A$500&lt;&gt;"")*(IFERROR(VLOOKUP('Workout Log'!L$4:L$500,'Exercise Library'!$B$4:$C$200,2,FALSE()),"")=A13))+SUMPRODUCT(('Workout Log'!$A$4:$A$500&gt;=TODAY()-30)*('Workout Log'!$A$4:$A$500&lt;&gt;"")*(IFERROR(VLOOKUP('Workout Log'!L$4:L$500,'Exercise Library'!$B$4:$D$200,3,FALSE()),"")=A13))+SUMPRODUCT(('Workout Log'!$A$4:$A$500&gt;=TODAY()-30)*('Workout Log'!$A$4:$A$500&lt;&gt;"")*(IFERROR(VLOOKUP('Workout Log'!M$4:M$500,'Exercise Library'!$B$4:$C$200,2,FALSE()),"")=A13))+SUMPRODUCT(('Workout Log'!$A$4:$A$500&gt;=TODAY()-30)*('Workout Log'!$A$4:$A$500&lt;&gt;"")*(IFERROR(VLOOKUP('Workout Log'!M$4:M$500,'Exercise Library'!$B$4:$D$200,3,FALSE()),"")=A13))</f>
        <v>0</v>
      </c>
      <c r="E13" s="14" t="n">
        <f aca="false">SUMPRODUCT(('Workout Log'!$A$4:$A$500&gt;0)*('Workout Log'!$A$4:$A$500&lt;&gt;"")*(IFERROR(VLOOKUP('Workout Log'!F$4:F$500,'Exercise Library'!$B$4:$C$200,2,FALSE()),"")=A13))+SUMPRODUCT(('Workout Log'!$A$4:$A$500&gt;0)*('Workout Log'!$A$4:$A$500&lt;&gt;"")*(IFERROR(VLOOKUP('Workout Log'!F$4:F$500,'Exercise Library'!$B$4:$D$200,3,FALSE()),"")=A13))+SUMPRODUCT(('Workout Log'!$A$4:$A$500&gt;0)*('Workout Log'!$A$4:$A$500&lt;&gt;"")*(IFERROR(VLOOKUP('Workout Log'!G$4:G$500,'Exercise Library'!$B$4:$C$200,2,FALSE()),"")=A13))+SUMPRODUCT(('Workout Log'!$A$4:$A$500&gt;0)*('Workout Log'!$A$4:$A$500&lt;&gt;"")*(IFERROR(VLOOKUP('Workout Log'!G$4:G$500,'Exercise Library'!$B$4:$D$200,3,FALSE()),"")=A13))+SUMPRODUCT(('Workout Log'!$A$4:$A$500&gt;0)*('Workout Log'!$A$4:$A$500&lt;&gt;"")*(IFERROR(VLOOKUP('Workout Log'!H$4:H$500,'Exercise Library'!$B$4:$C$200,2,FALSE()),"")=A13))+SUMPRODUCT(('Workout Log'!$A$4:$A$500&gt;0)*('Workout Log'!$A$4:$A$500&lt;&gt;"")*(IFERROR(VLOOKUP('Workout Log'!H$4:H$500,'Exercise Library'!$B$4:$D$200,3,FALSE()),"")=A13))+SUMPRODUCT(('Workout Log'!$A$4:$A$500&gt;0)*('Workout Log'!$A$4:$A$500&lt;&gt;"")*(IFERROR(VLOOKUP('Workout Log'!I$4:I$500,'Exercise Library'!$B$4:$C$200,2,FALSE()),"")=A13))+SUMPRODUCT(('Workout Log'!$A$4:$A$500&gt;0)*('Workout Log'!$A$4:$A$500&lt;&gt;"")*(IFERROR(VLOOKUP('Workout Log'!I$4:I$500,'Exercise Library'!$B$4:$D$200,3,FALSE()),"")=A13))+SUMPRODUCT(('Workout Log'!$A$4:$A$500&gt;0)*('Workout Log'!$A$4:$A$500&lt;&gt;"")*(IFERROR(VLOOKUP('Workout Log'!J$4:J$500,'Exercise Library'!$B$4:$C$200,2,FALSE()),"")=A13))+SUMPRODUCT(('Workout Log'!$A$4:$A$500&gt;0)*('Workout Log'!$A$4:$A$500&lt;&gt;"")*(IFERROR(VLOOKUP('Workout Log'!J$4:J$500,'Exercise Library'!$B$4:$D$200,3,FALSE()),"")=A13))+SUMPRODUCT(('Workout Log'!$A$4:$A$500&gt;0)*('Workout Log'!$A$4:$A$500&lt;&gt;"")*(IFERROR(VLOOKUP('Workout Log'!K$4:K$500,'Exercise Library'!$B$4:$C$200,2,FALSE()),"")=A13))+SUMPRODUCT(('Workout Log'!$A$4:$A$500&gt;0)*('Workout Log'!$A$4:$A$500&lt;&gt;"")*(IFERROR(VLOOKUP('Workout Log'!K$4:K$500,'Exercise Library'!$B$4:$D$200,3,FALSE()),"")=A13))+SUMPRODUCT(('Workout Log'!$A$4:$A$500&gt;0)*('Workout Log'!$A$4:$A$500&lt;&gt;"")*(IFERROR(VLOOKUP('Workout Log'!L$4:L$500,'Exercise Library'!$B$4:$C$200,2,FALSE()),"")=A13))+SUMPRODUCT(('Workout Log'!$A$4:$A$500&gt;0)*('Workout Log'!$A$4:$A$500&lt;&gt;"")*(IFERROR(VLOOKUP('Workout Log'!L$4:L$500,'Exercise Library'!$B$4:$D$200,3,FALSE()),"")=A13))+SUMPRODUCT(('Workout Log'!$A$4:$A$500&gt;0)*('Workout Log'!$A$4:$A$500&lt;&gt;"")*(IFERROR(VLOOKUP('Workout Log'!M$4:M$500,'Exercise Library'!$B$4:$C$200,2,FALSE()),"")=A13))+SUMPRODUCT(('Workout Log'!$A$4:$A$500&gt;0)*('Workout Log'!$A$4:$A$500&lt;&gt;"")*(IFERROR(VLOOKUP('Workout Log'!M$4:M$500,'Exercise Library'!$B$4:$D$200,3,FALSE()),"")=A13))</f>
        <v>0</v>
      </c>
      <c r="F13" s="14" t="str">
        <f aca="true">IF(E13=0,"Never",IFERROR(TODAY()-MAX(B13*0+TODAY()-7),"N/A"))</f>
        <v>Never</v>
      </c>
      <c r="G13" s="24" t="n">
        <v>2</v>
      </c>
      <c r="H13" s="14" t="n">
        <f aca="false">MAX(0, G13-B13)</f>
        <v>2</v>
      </c>
    </row>
    <row r="14" customFormat="false" ht="15" hidden="false" customHeight="false" outlineLevel="0" collapsed="false">
      <c r="A14" s="16" t="s">
        <v>118</v>
      </c>
      <c r="B14" s="16" t="n">
        <f aca="true">SUMPRODUCT(('Workout Log'!$A$4:$A$500&gt;=TODAY()-7)*('Workout Log'!$A$4:$A$500&lt;&gt;"")*(IFERROR(VLOOKUP('Workout Log'!F$4:F$500,'Exercise Library'!$B$4:$C$200,2,FALSE()),"")=A14))+SUMPRODUCT(('Workout Log'!$A$4:$A$500&gt;=TODAY()-7)*('Workout Log'!$A$4:$A$500&lt;&gt;"")*(IFERROR(VLOOKUP('Workout Log'!F$4:F$500,'Exercise Library'!$B$4:$D$200,3,FALSE()),"")=A14))+SUMPRODUCT(('Workout Log'!$A$4:$A$500&gt;=TODAY()-7)*('Workout Log'!$A$4:$A$500&lt;&gt;"")*(IFERROR(VLOOKUP('Workout Log'!G$4:G$500,'Exercise Library'!$B$4:$C$200,2,FALSE()),"")=A14))+SUMPRODUCT(('Workout Log'!$A$4:$A$500&gt;=TODAY()-7)*('Workout Log'!$A$4:$A$500&lt;&gt;"")*(IFERROR(VLOOKUP('Workout Log'!G$4:G$500,'Exercise Library'!$B$4:$D$200,3,FALSE()),"")=A14))+SUMPRODUCT(('Workout Log'!$A$4:$A$500&gt;=TODAY()-7)*('Workout Log'!$A$4:$A$500&lt;&gt;"")*(IFERROR(VLOOKUP('Workout Log'!H$4:H$500,'Exercise Library'!$B$4:$C$200,2,FALSE()),"")=A14))+SUMPRODUCT(('Workout Log'!$A$4:$A$500&gt;=TODAY()-7)*('Workout Log'!$A$4:$A$500&lt;&gt;"")*(IFERROR(VLOOKUP('Workout Log'!H$4:H$500,'Exercise Library'!$B$4:$D$200,3,FALSE()),"")=A14))+SUMPRODUCT(('Workout Log'!$A$4:$A$500&gt;=TODAY()-7)*('Workout Log'!$A$4:$A$500&lt;&gt;"")*(IFERROR(VLOOKUP('Workout Log'!I$4:I$500,'Exercise Library'!$B$4:$C$200,2,FALSE()),"")=A14))+SUMPRODUCT(('Workout Log'!$A$4:$A$500&gt;=TODAY()-7)*('Workout Log'!$A$4:$A$500&lt;&gt;"")*(IFERROR(VLOOKUP('Workout Log'!I$4:I$500,'Exercise Library'!$B$4:$D$200,3,FALSE()),"")=A14))+SUMPRODUCT(('Workout Log'!$A$4:$A$500&gt;=TODAY()-7)*('Workout Log'!$A$4:$A$500&lt;&gt;"")*(IFERROR(VLOOKUP('Workout Log'!J$4:J$500,'Exercise Library'!$B$4:$C$200,2,FALSE()),"")=A14))+SUMPRODUCT(('Workout Log'!$A$4:$A$500&gt;=TODAY()-7)*('Workout Log'!$A$4:$A$500&lt;&gt;"")*(IFERROR(VLOOKUP('Workout Log'!J$4:J$500,'Exercise Library'!$B$4:$D$200,3,FALSE()),"")=A14))+SUMPRODUCT(('Workout Log'!$A$4:$A$500&gt;=TODAY()-7)*('Workout Log'!$A$4:$A$500&lt;&gt;"")*(IFERROR(VLOOKUP('Workout Log'!K$4:K$500,'Exercise Library'!$B$4:$C$200,2,FALSE()),"")=A14))+SUMPRODUCT(('Workout Log'!$A$4:$A$500&gt;=TODAY()-7)*('Workout Log'!$A$4:$A$500&lt;&gt;"")*(IFERROR(VLOOKUP('Workout Log'!K$4:K$500,'Exercise Library'!$B$4:$D$200,3,FALSE()),"")=A14))+SUMPRODUCT(('Workout Log'!$A$4:$A$500&gt;=TODAY()-7)*('Workout Log'!$A$4:$A$500&lt;&gt;"")*(IFERROR(VLOOKUP('Workout Log'!L$4:L$500,'Exercise Library'!$B$4:$C$200,2,FALSE()),"")=A14))+SUMPRODUCT(('Workout Log'!$A$4:$A$500&gt;=TODAY()-7)*('Workout Log'!$A$4:$A$500&lt;&gt;"")*(IFERROR(VLOOKUP('Workout Log'!L$4:L$500,'Exercise Library'!$B$4:$D$200,3,FALSE()),"")=A14))+SUMPRODUCT(('Workout Log'!$A$4:$A$500&gt;=TODAY()-7)*('Workout Log'!$A$4:$A$500&lt;&gt;"")*(IFERROR(VLOOKUP('Workout Log'!M$4:M$500,'Exercise Library'!$B$4:$C$200,2,FALSE()),"")=A14))+SUMPRODUCT(('Workout Log'!$A$4:$A$500&gt;=TODAY()-7)*('Workout Log'!$A$4:$A$500&lt;&gt;"")*(IFERROR(VLOOKUP('Workout Log'!M$4:M$500,'Exercise Library'!$B$4:$D$200,3,FALSE()),"")=A14))</f>
        <v>0</v>
      </c>
      <c r="C14" s="16" t="n">
        <f aca="true">SUMPRODUCT(('Workout Log'!$A$4:$A$500&gt;=TODAY()-14)*('Workout Log'!$A$4:$A$500&lt;&gt;"")*(IFERROR(VLOOKUP('Workout Log'!F$4:F$500,'Exercise Library'!$B$4:$C$200,2,FALSE()),"")=A14))+SUMPRODUCT(('Workout Log'!$A$4:$A$500&gt;=TODAY()-14)*('Workout Log'!$A$4:$A$500&lt;&gt;"")*(IFERROR(VLOOKUP('Workout Log'!F$4:F$500,'Exercise Library'!$B$4:$D$200,3,FALSE()),"")=A14))+SUMPRODUCT(('Workout Log'!$A$4:$A$500&gt;=TODAY()-14)*('Workout Log'!$A$4:$A$500&lt;&gt;"")*(IFERROR(VLOOKUP('Workout Log'!G$4:G$500,'Exercise Library'!$B$4:$C$200,2,FALSE()),"")=A14))+SUMPRODUCT(('Workout Log'!$A$4:$A$500&gt;=TODAY()-14)*('Workout Log'!$A$4:$A$500&lt;&gt;"")*(IFERROR(VLOOKUP('Workout Log'!G$4:G$500,'Exercise Library'!$B$4:$D$200,3,FALSE()),"")=A14))+SUMPRODUCT(('Workout Log'!$A$4:$A$500&gt;=TODAY()-14)*('Workout Log'!$A$4:$A$500&lt;&gt;"")*(IFERROR(VLOOKUP('Workout Log'!H$4:H$500,'Exercise Library'!$B$4:$C$200,2,FALSE()),"")=A14))+SUMPRODUCT(('Workout Log'!$A$4:$A$500&gt;=TODAY()-14)*('Workout Log'!$A$4:$A$500&lt;&gt;"")*(IFERROR(VLOOKUP('Workout Log'!H$4:H$500,'Exercise Library'!$B$4:$D$200,3,FALSE()),"")=A14))+SUMPRODUCT(('Workout Log'!$A$4:$A$500&gt;=TODAY()-14)*('Workout Log'!$A$4:$A$500&lt;&gt;"")*(IFERROR(VLOOKUP('Workout Log'!I$4:I$500,'Exercise Library'!$B$4:$C$200,2,FALSE()),"")=A14))+SUMPRODUCT(('Workout Log'!$A$4:$A$500&gt;=TODAY()-14)*('Workout Log'!$A$4:$A$500&lt;&gt;"")*(IFERROR(VLOOKUP('Workout Log'!I$4:I$500,'Exercise Library'!$B$4:$D$200,3,FALSE()),"")=A14))+SUMPRODUCT(('Workout Log'!$A$4:$A$500&gt;=TODAY()-14)*('Workout Log'!$A$4:$A$500&lt;&gt;"")*(IFERROR(VLOOKUP('Workout Log'!J$4:J$500,'Exercise Library'!$B$4:$C$200,2,FALSE()),"")=A14))+SUMPRODUCT(('Workout Log'!$A$4:$A$500&gt;=TODAY()-14)*('Workout Log'!$A$4:$A$500&lt;&gt;"")*(IFERROR(VLOOKUP('Workout Log'!J$4:J$500,'Exercise Library'!$B$4:$D$200,3,FALSE()),"")=A14))+SUMPRODUCT(('Workout Log'!$A$4:$A$500&gt;=TODAY()-14)*('Workout Log'!$A$4:$A$500&lt;&gt;"")*(IFERROR(VLOOKUP('Workout Log'!K$4:K$500,'Exercise Library'!$B$4:$C$200,2,FALSE()),"")=A14))+SUMPRODUCT(('Workout Log'!$A$4:$A$500&gt;=TODAY()-14)*('Workout Log'!$A$4:$A$500&lt;&gt;"")*(IFERROR(VLOOKUP('Workout Log'!K$4:K$500,'Exercise Library'!$B$4:$D$200,3,FALSE()),"")=A14))+SUMPRODUCT(('Workout Log'!$A$4:$A$500&gt;=TODAY()-14)*('Workout Log'!$A$4:$A$500&lt;&gt;"")*(IFERROR(VLOOKUP('Workout Log'!L$4:L$500,'Exercise Library'!$B$4:$C$200,2,FALSE()),"")=A14))+SUMPRODUCT(('Workout Log'!$A$4:$A$500&gt;=TODAY()-14)*('Workout Log'!$A$4:$A$500&lt;&gt;"")*(IFERROR(VLOOKUP('Workout Log'!L$4:L$500,'Exercise Library'!$B$4:$D$200,3,FALSE()),"")=A14))+SUMPRODUCT(('Workout Log'!$A$4:$A$500&gt;=TODAY()-14)*('Workout Log'!$A$4:$A$500&lt;&gt;"")*(IFERROR(VLOOKUP('Workout Log'!M$4:M$500,'Exercise Library'!$B$4:$C$200,2,FALSE()),"")=A14))+SUMPRODUCT(('Workout Log'!$A$4:$A$500&gt;=TODAY()-14)*('Workout Log'!$A$4:$A$500&lt;&gt;"")*(IFERROR(VLOOKUP('Workout Log'!M$4:M$500,'Exercise Library'!$B$4:$D$200,3,FALSE()),"")=A14))</f>
        <v>0</v>
      </c>
      <c r="D14" s="16" t="n">
        <f aca="true">SUMPRODUCT(('Workout Log'!$A$4:$A$500&gt;=TODAY()-30)*('Workout Log'!$A$4:$A$500&lt;&gt;"")*(IFERROR(VLOOKUP('Workout Log'!F$4:F$500,'Exercise Library'!$B$4:$C$200,2,FALSE()),"")=A14))+SUMPRODUCT(('Workout Log'!$A$4:$A$500&gt;=TODAY()-30)*('Workout Log'!$A$4:$A$500&lt;&gt;"")*(IFERROR(VLOOKUP('Workout Log'!F$4:F$500,'Exercise Library'!$B$4:$D$200,3,FALSE()),"")=A14))+SUMPRODUCT(('Workout Log'!$A$4:$A$500&gt;=TODAY()-30)*('Workout Log'!$A$4:$A$500&lt;&gt;"")*(IFERROR(VLOOKUP('Workout Log'!G$4:G$500,'Exercise Library'!$B$4:$C$200,2,FALSE()),"")=A14))+SUMPRODUCT(('Workout Log'!$A$4:$A$500&gt;=TODAY()-30)*('Workout Log'!$A$4:$A$500&lt;&gt;"")*(IFERROR(VLOOKUP('Workout Log'!G$4:G$500,'Exercise Library'!$B$4:$D$200,3,FALSE()),"")=A14))+SUMPRODUCT(('Workout Log'!$A$4:$A$500&gt;=TODAY()-30)*('Workout Log'!$A$4:$A$500&lt;&gt;"")*(IFERROR(VLOOKUP('Workout Log'!H$4:H$500,'Exercise Library'!$B$4:$C$200,2,FALSE()),"")=A14))+SUMPRODUCT(('Workout Log'!$A$4:$A$500&gt;=TODAY()-30)*('Workout Log'!$A$4:$A$500&lt;&gt;"")*(IFERROR(VLOOKUP('Workout Log'!H$4:H$500,'Exercise Library'!$B$4:$D$200,3,FALSE()),"")=A14))+SUMPRODUCT(('Workout Log'!$A$4:$A$500&gt;=TODAY()-30)*('Workout Log'!$A$4:$A$500&lt;&gt;"")*(IFERROR(VLOOKUP('Workout Log'!I$4:I$500,'Exercise Library'!$B$4:$C$200,2,FALSE()),"")=A14))+SUMPRODUCT(('Workout Log'!$A$4:$A$500&gt;=TODAY()-30)*('Workout Log'!$A$4:$A$500&lt;&gt;"")*(IFERROR(VLOOKUP('Workout Log'!I$4:I$500,'Exercise Library'!$B$4:$D$200,3,FALSE()),"")=A14))+SUMPRODUCT(('Workout Log'!$A$4:$A$500&gt;=TODAY()-30)*('Workout Log'!$A$4:$A$500&lt;&gt;"")*(IFERROR(VLOOKUP('Workout Log'!J$4:J$500,'Exercise Library'!$B$4:$C$200,2,FALSE()),"")=A14))+SUMPRODUCT(('Workout Log'!$A$4:$A$500&gt;=TODAY()-30)*('Workout Log'!$A$4:$A$500&lt;&gt;"")*(IFERROR(VLOOKUP('Workout Log'!J$4:J$500,'Exercise Library'!$B$4:$D$200,3,FALSE()),"")=A14))+SUMPRODUCT(('Workout Log'!$A$4:$A$500&gt;=TODAY()-30)*('Workout Log'!$A$4:$A$500&lt;&gt;"")*(IFERROR(VLOOKUP('Workout Log'!K$4:K$500,'Exercise Library'!$B$4:$C$200,2,FALSE()),"")=A14))+SUMPRODUCT(('Workout Log'!$A$4:$A$500&gt;=TODAY()-30)*('Workout Log'!$A$4:$A$500&lt;&gt;"")*(IFERROR(VLOOKUP('Workout Log'!K$4:K$500,'Exercise Library'!$B$4:$D$200,3,FALSE()),"")=A14))+SUMPRODUCT(('Workout Log'!$A$4:$A$500&gt;=TODAY()-30)*('Workout Log'!$A$4:$A$500&lt;&gt;"")*(IFERROR(VLOOKUP('Workout Log'!L$4:L$500,'Exercise Library'!$B$4:$C$200,2,FALSE()),"")=A14))+SUMPRODUCT(('Workout Log'!$A$4:$A$500&gt;=TODAY()-30)*('Workout Log'!$A$4:$A$500&lt;&gt;"")*(IFERROR(VLOOKUP('Workout Log'!L$4:L$500,'Exercise Library'!$B$4:$D$200,3,FALSE()),"")=A14))+SUMPRODUCT(('Workout Log'!$A$4:$A$500&gt;=TODAY()-30)*('Workout Log'!$A$4:$A$500&lt;&gt;"")*(IFERROR(VLOOKUP('Workout Log'!M$4:M$500,'Exercise Library'!$B$4:$C$200,2,FALSE()),"")=A14))+SUMPRODUCT(('Workout Log'!$A$4:$A$500&gt;=TODAY()-30)*('Workout Log'!$A$4:$A$500&lt;&gt;"")*(IFERROR(VLOOKUP('Workout Log'!M$4:M$500,'Exercise Library'!$B$4:$D$200,3,FALSE()),"")=A14))</f>
        <v>0</v>
      </c>
      <c r="E14" s="16" t="n">
        <f aca="false">SUMPRODUCT(('Workout Log'!$A$4:$A$500&gt;0)*('Workout Log'!$A$4:$A$500&lt;&gt;"")*(IFERROR(VLOOKUP('Workout Log'!F$4:F$500,'Exercise Library'!$B$4:$C$200,2,FALSE()),"")=A14))+SUMPRODUCT(('Workout Log'!$A$4:$A$500&gt;0)*('Workout Log'!$A$4:$A$500&lt;&gt;"")*(IFERROR(VLOOKUP('Workout Log'!F$4:F$500,'Exercise Library'!$B$4:$D$200,3,FALSE()),"")=A14))+SUMPRODUCT(('Workout Log'!$A$4:$A$500&gt;0)*('Workout Log'!$A$4:$A$500&lt;&gt;"")*(IFERROR(VLOOKUP('Workout Log'!G$4:G$500,'Exercise Library'!$B$4:$C$200,2,FALSE()),"")=A14))+SUMPRODUCT(('Workout Log'!$A$4:$A$500&gt;0)*('Workout Log'!$A$4:$A$500&lt;&gt;"")*(IFERROR(VLOOKUP('Workout Log'!G$4:G$500,'Exercise Library'!$B$4:$D$200,3,FALSE()),"")=A14))+SUMPRODUCT(('Workout Log'!$A$4:$A$500&gt;0)*('Workout Log'!$A$4:$A$500&lt;&gt;"")*(IFERROR(VLOOKUP('Workout Log'!H$4:H$500,'Exercise Library'!$B$4:$C$200,2,FALSE()),"")=A14))+SUMPRODUCT(('Workout Log'!$A$4:$A$500&gt;0)*('Workout Log'!$A$4:$A$500&lt;&gt;"")*(IFERROR(VLOOKUP('Workout Log'!H$4:H$500,'Exercise Library'!$B$4:$D$200,3,FALSE()),"")=A14))+SUMPRODUCT(('Workout Log'!$A$4:$A$500&gt;0)*('Workout Log'!$A$4:$A$500&lt;&gt;"")*(IFERROR(VLOOKUP('Workout Log'!I$4:I$500,'Exercise Library'!$B$4:$C$200,2,FALSE()),"")=A14))+SUMPRODUCT(('Workout Log'!$A$4:$A$500&gt;0)*('Workout Log'!$A$4:$A$500&lt;&gt;"")*(IFERROR(VLOOKUP('Workout Log'!I$4:I$500,'Exercise Library'!$B$4:$D$200,3,FALSE()),"")=A14))+SUMPRODUCT(('Workout Log'!$A$4:$A$500&gt;0)*('Workout Log'!$A$4:$A$500&lt;&gt;"")*(IFERROR(VLOOKUP('Workout Log'!J$4:J$500,'Exercise Library'!$B$4:$C$200,2,FALSE()),"")=A14))+SUMPRODUCT(('Workout Log'!$A$4:$A$500&gt;0)*('Workout Log'!$A$4:$A$500&lt;&gt;"")*(IFERROR(VLOOKUP('Workout Log'!J$4:J$500,'Exercise Library'!$B$4:$D$200,3,FALSE()),"")=A14))+SUMPRODUCT(('Workout Log'!$A$4:$A$500&gt;0)*('Workout Log'!$A$4:$A$500&lt;&gt;"")*(IFERROR(VLOOKUP('Workout Log'!K$4:K$500,'Exercise Library'!$B$4:$C$200,2,FALSE()),"")=A14))+SUMPRODUCT(('Workout Log'!$A$4:$A$500&gt;0)*('Workout Log'!$A$4:$A$500&lt;&gt;"")*(IFERROR(VLOOKUP('Workout Log'!K$4:K$500,'Exercise Library'!$B$4:$D$200,3,FALSE()),"")=A14))+SUMPRODUCT(('Workout Log'!$A$4:$A$500&gt;0)*('Workout Log'!$A$4:$A$500&lt;&gt;"")*(IFERROR(VLOOKUP('Workout Log'!L$4:L$500,'Exercise Library'!$B$4:$C$200,2,FALSE()),"")=A14))+SUMPRODUCT(('Workout Log'!$A$4:$A$500&gt;0)*('Workout Log'!$A$4:$A$500&lt;&gt;"")*(IFERROR(VLOOKUP('Workout Log'!L$4:L$500,'Exercise Library'!$B$4:$D$200,3,FALSE()),"")=A14))+SUMPRODUCT(('Workout Log'!$A$4:$A$500&gt;0)*('Workout Log'!$A$4:$A$500&lt;&gt;"")*(IFERROR(VLOOKUP('Workout Log'!M$4:M$500,'Exercise Library'!$B$4:$C$200,2,FALSE()),"")=A14))+SUMPRODUCT(('Workout Log'!$A$4:$A$500&gt;0)*('Workout Log'!$A$4:$A$500&lt;&gt;"")*(IFERROR(VLOOKUP('Workout Log'!M$4:M$500,'Exercise Library'!$B$4:$D$200,3,FALSE()),"")=A14))</f>
        <v>0</v>
      </c>
      <c r="F14" s="16" t="str">
        <f aca="true">IF(E14=0,"Never",IFERROR(TODAY()-MAX(B14*0+TODAY()-7),"N/A"))</f>
        <v>Never</v>
      </c>
      <c r="G14" s="24" t="n">
        <v>2</v>
      </c>
      <c r="H14" s="16" t="n">
        <f aca="false">MAX(0, G14-B14)</f>
        <v>2</v>
      </c>
    </row>
    <row r="15" customFormat="false" ht="15" hidden="false" customHeight="false" outlineLevel="0" collapsed="false">
      <c r="A15" s="14" t="s">
        <v>127</v>
      </c>
      <c r="B15" s="14" t="n">
        <f aca="true">SUMPRODUCT(('Workout Log'!$A$4:$A$500&gt;=TODAY()-7)*('Workout Log'!$A$4:$A$500&lt;&gt;"")*(IFERROR(VLOOKUP('Workout Log'!F$4:F$500,'Exercise Library'!$B$4:$C$200,2,FALSE()),"")=A15))+SUMPRODUCT(('Workout Log'!$A$4:$A$500&gt;=TODAY()-7)*('Workout Log'!$A$4:$A$500&lt;&gt;"")*(IFERROR(VLOOKUP('Workout Log'!F$4:F$500,'Exercise Library'!$B$4:$D$200,3,FALSE()),"")=A15))+SUMPRODUCT(('Workout Log'!$A$4:$A$500&gt;=TODAY()-7)*('Workout Log'!$A$4:$A$500&lt;&gt;"")*(IFERROR(VLOOKUP('Workout Log'!G$4:G$500,'Exercise Library'!$B$4:$C$200,2,FALSE()),"")=A15))+SUMPRODUCT(('Workout Log'!$A$4:$A$500&gt;=TODAY()-7)*('Workout Log'!$A$4:$A$500&lt;&gt;"")*(IFERROR(VLOOKUP('Workout Log'!G$4:G$500,'Exercise Library'!$B$4:$D$200,3,FALSE()),"")=A15))+SUMPRODUCT(('Workout Log'!$A$4:$A$500&gt;=TODAY()-7)*('Workout Log'!$A$4:$A$500&lt;&gt;"")*(IFERROR(VLOOKUP('Workout Log'!H$4:H$500,'Exercise Library'!$B$4:$C$200,2,FALSE()),"")=A15))+SUMPRODUCT(('Workout Log'!$A$4:$A$500&gt;=TODAY()-7)*('Workout Log'!$A$4:$A$500&lt;&gt;"")*(IFERROR(VLOOKUP('Workout Log'!H$4:H$500,'Exercise Library'!$B$4:$D$200,3,FALSE()),"")=A15))+SUMPRODUCT(('Workout Log'!$A$4:$A$500&gt;=TODAY()-7)*('Workout Log'!$A$4:$A$500&lt;&gt;"")*(IFERROR(VLOOKUP('Workout Log'!I$4:I$500,'Exercise Library'!$B$4:$C$200,2,FALSE()),"")=A15))+SUMPRODUCT(('Workout Log'!$A$4:$A$500&gt;=TODAY()-7)*('Workout Log'!$A$4:$A$500&lt;&gt;"")*(IFERROR(VLOOKUP('Workout Log'!I$4:I$500,'Exercise Library'!$B$4:$D$200,3,FALSE()),"")=A15))+SUMPRODUCT(('Workout Log'!$A$4:$A$500&gt;=TODAY()-7)*('Workout Log'!$A$4:$A$500&lt;&gt;"")*(IFERROR(VLOOKUP('Workout Log'!J$4:J$500,'Exercise Library'!$B$4:$C$200,2,FALSE()),"")=A15))+SUMPRODUCT(('Workout Log'!$A$4:$A$500&gt;=TODAY()-7)*('Workout Log'!$A$4:$A$500&lt;&gt;"")*(IFERROR(VLOOKUP('Workout Log'!J$4:J$500,'Exercise Library'!$B$4:$D$200,3,FALSE()),"")=A15))+SUMPRODUCT(('Workout Log'!$A$4:$A$500&gt;=TODAY()-7)*('Workout Log'!$A$4:$A$500&lt;&gt;"")*(IFERROR(VLOOKUP('Workout Log'!K$4:K$500,'Exercise Library'!$B$4:$C$200,2,FALSE()),"")=A15))+SUMPRODUCT(('Workout Log'!$A$4:$A$500&gt;=TODAY()-7)*('Workout Log'!$A$4:$A$500&lt;&gt;"")*(IFERROR(VLOOKUP('Workout Log'!K$4:K$500,'Exercise Library'!$B$4:$D$200,3,FALSE()),"")=A15))+SUMPRODUCT(('Workout Log'!$A$4:$A$500&gt;=TODAY()-7)*('Workout Log'!$A$4:$A$500&lt;&gt;"")*(IFERROR(VLOOKUP('Workout Log'!L$4:L$500,'Exercise Library'!$B$4:$C$200,2,FALSE()),"")=A15))+SUMPRODUCT(('Workout Log'!$A$4:$A$500&gt;=TODAY()-7)*('Workout Log'!$A$4:$A$500&lt;&gt;"")*(IFERROR(VLOOKUP('Workout Log'!L$4:L$500,'Exercise Library'!$B$4:$D$200,3,FALSE()),"")=A15))+SUMPRODUCT(('Workout Log'!$A$4:$A$500&gt;=TODAY()-7)*('Workout Log'!$A$4:$A$500&lt;&gt;"")*(IFERROR(VLOOKUP('Workout Log'!M$4:M$500,'Exercise Library'!$B$4:$C$200,2,FALSE()),"")=A15))+SUMPRODUCT(('Workout Log'!$A$4:$A$500&gt;=TODAY()-7)*('Workout Log'!$A$4:$A$500&lt;&gt;"")*(IFERROR(VLOOKUP('Workout Log'!M$4:M$500,'Exercise Library'!$B$4:$D$200,3,FALSE()),"")=A15))</f>
        <v>0</v>
      </c>
      <c r="C15" s="14" t="n">
        <f aca="true">SUMPRODUCT(('Workout Log'!$A$4:$A$500&gt;=TODAY()-14)*('Workout Log'!$A$4:$A$500&lt;&gt;"")*(IFERROR(VLOOKUP('Workout Log'!F$4:F$500,'Exercise Library'!$B$4:$C$200,2,FALSE()),"")=A15))+SUMPRODUCT(('Workout Log'!$A$4:$A$500&gt;=TODAY()-14)*('Workout Log'!$A$4:$A$500&lt;&gt;"")*(IFERROR(VLOOKUP('Workout Log'!F$4:F$500,'Exercise Library'!$B$4:$D$200,3,FALSE()),"")=A15))+SUMPRODUCT(('Workout Log'!$A$4:$A$500&gt;=TODAY()-14)*('Workout Log'!$A$4:$A$500&lt;&gt;"")*(IFERROR(VLOOKUP('Workout Log'!G$4:G$500,'Exercise Library'!$B$4:$C$200,2,FALSE()),"")=A15))+SUMPRODUCT(('Workout Log'!$A$4:$A$500&gt;=TODAY()-14)*('Workout Log'!$A$4:$A$500&lt;&gt;"")*(IFERROR(VLOOKUP('Workout Log'!G$4:G$500,'Exercise Library'!$B$4:$D$200,3,FALSE()),"")=A15))+SUMPRODUCT(('Workout Log'!$A$4:$A$500&gt;=TODAY()-14)*('Workout Log'!$A$4:$A$500&lt;&gt;"")*(IFERROR(VLOOKUP('Workout Log'!H$4:H$500,'Exercise Library'!$B$4:$C$200,2,FALSE()),"")=A15))+SUMPRODUCT(('Workout Log'!$A$4:$A$500&gt;=TODAY()-14)*('Workout Log'!$A$4:$A$500&lt;&gt;"")*(IFERROR(VLOOKUP('Workout Log'!H$4:H$500,'Exercise Library'!$B$4:$D$200,3,FALSE()),"")=A15))+SUMPRODUCT(('Workout Log'!$A$4:$A$500&gt;=TODAY()-14)*('Workout Log'!$A$4:$A$500&lt;&gt;"")*(IFERROR(VLOOKUP('Workout Log'!I$4:I$500,'Exercise Library'!$B$4:$C$200,2,FALSE()),"")=A15))+SUMPRODUCT(('Workout Log'!$A$4:$A$500&gt;=TODAY()-14)*('Workout Log'!$A$4:$A$500&lt;&gt;"")*(IFERROR(VLOOKUP('Workout Log'!I$4:I$500,'Exercise Library'!$B$4:$D$200,3,FALSE()),"")=A15))+SUMPRODUCT(('Workout Log'!$A$4:$A$500&gt;=TODAY()-14)*('Workout Log'!$A$4:$A$500&lt;&gt;"")*(IFERROR(VLOOKUP('Workout Log'!J$4:J$500,'Exercise Library'!$B$4:$C$200,2,FALSE()),"")=A15))+SUMPRODUCT(('Workout Log'!$A$4:$A$500&gt;=TODAY()-14)*('Workout Log'!$A$4:$A$500&lt;&gt;"")*(IFERROR(VLOOKUP('Workout Log'!J$4:J$500,'Exercise Library'!$B$4:$D$200,3,FALSE()),"")=A15))+SUMPRODUCT(('Workout Log'!$A$4:$A$500&gt;=TODAY()-14)*('Workout Log'!$A$4:$A$500&lt;&gt;"")*(IFERROR(VLOOKUP('Workout Log'!K$4:K$500,'Exercise Library'!$B$4:$C$200,2,FALSE()),"")=A15))+SUMPRODUCT(('Workout Log'!$A$4:$A$500&gt;=TODAY()-14)*('Workout Log'!$A$4:$A$500&lt;&gt;"")*(IFERROR(VLOOKUP('Workout Log'!K$4:K$500,'Exercise Library'!$B$4:$D$200,3,FALSE()),"")=A15))+SUMPRODUCT(('Workout Log'!$A$4:$A$500&gt;=TODAY()-14)*('Workout Log'!$A$4:$A$500&lt;&gt;"")*(IFERROR(VLOOKUP('Workout Log'!L$4:L$500,'Exercise Library'!$B$4:$C$200,2,FALSE()),"")=A15))+SUMPRODUCT(('Workout Log'!$A$4:$A$500&gt;=TODAY()-14)*('Workout Log'!$A$4:$A$500&lt;&gt;"")*(IFERROR(VLOOKUP('Workout Log'!L$4:L$500,'Exercise Library'!$B$4:$D$200,3,FALSE()),"")=A15))+SUMPRODUCT(('Workout Log'!$A$4:$A$500&gt;=TODAY()-14)*('Workout Log'!$A$4:$A$500&lt;&gt;"")*(IFERROR(VLOOKUP('Workout Log'!M$4:M$500,'Exercise Library'!$B$4:$C$200,2,FALSE()),"")=A15))+SUMPRODUCT(('Workout Log'!$A$4:$A$500&gt;=TODAY()-14)*('Workout Log'!$A$4:$A$500&lt;&gt;"")*(IFERROR(VLOOKUP('Workout Log'!M$4:M$500,'Exercise Library'!$B$4:$D$200,3,FALSE()),"")=A15))</f>
        <v>0</v>
      </c>
      <c r="D15" s="14" t="n">
        <f aca="true">SUMPRODUCT(('Workout Log'!$A$4:$A$500&gt;=TODAY()-30)*('Workout Log'!$A$4:$A$500&lt;&gt;"")*(IFERROR(VLOOKUP('Workout Log'!F$4:F$500,'Exercise Library'!$B$4:$C$200,2,FALSE()),"")=A15))+SUMPRODUCT(('Workout Log'!$A$4:$A$500&gt;=TODAY()-30)*('Workout Log'!$A$4:$A$500&lt;&gt;"")*(IFERROR(VLOOKUP('Workout Log'!F$4:F$500,'Exercise Library'!$B$4:$D$200,3,FALSE()),"")=A15))+SUMPRODUCT(('Workout Log'!$A$4:$A$500&gt;=TODAY()-30)*('Workout Log'!$A$4:$A$500&lt;&gt;"")*(IFERROR(VLOOKUP('Workout Log'!G$4:G$500,'Exercise Library'!$B$4:$C$200,2,FALSE()),"")=A15))+SUMPRODUCT(('Workout Log'!$A$4:$A$500&gt;=TODAY()-30)*('Workout Log'!$A$4:$A$500&lt;&gt;"")*(IFERROR(VLOOKUP('Workout Log'!G$4:G$500,'Exercise Library'!$B$4:$D$200,3,FALSE()),"")=A15))+SUMPRODUCT(('Workout Log'!$A$4:$A$500&gt;=TODAY()-30)*('Workout Log'!$A$4:$A$500&lt;&gt;"")*(IFERROR(VLOOKUP('Workout Log'!H$4:H$500,'Exercise Library'!$B$4:$C$200,2,FALSE()),"")=A15))+SUMPRODUCT(('Workout Log'!$A$4:$A$500&gt;=TODAY()-30)*('Workout Log'!$A$4:$A$500&lt;&gt;"")*(IFERROR(VLOOKUP('Workout Log'!H$4:H$500,'Exercise Library'!$B$4:$D$200,3,FALSE()),"")=A15))+SUMPRODUCT(('Workout Log'!$A$4:$A$500&gt;=TODAY()-30)*('Workout Log'!$A$4:$A$500&lt;&gt;"")*(IFERROR(VLOOKUP('Workout Log'!I$4:I$500,'Exercise Library'!$B$4:$C$200,2,FALSE()),"")=A15))+SUMPRODUCT(('Workout Log'!$A$4:$A$500&gt;=TODAY()-30)*('Workout Log'!$A$4:$A$500&lt;&gt;"")*(IFERROR(VLOOKUP('Workout Log'!I$4:I$500,'Exercise Library'!$B$4:$D$200,3,FALSE()),"")=A15))+SUMPRODUCT(('Workout Log'!$A$4:$A$500&gt;=TODAY()-30)*('Workout Log'!$A$4:$A$500&lt;&gt;"")*(IFERROR(VLOOKUP('Workout Log'!J$4:J$500,'Exercise Library'!$B$4:$C$200,2,FALSE()),"")=A15))+SUMPRODUCT(('Workout Log'!$A$4:$A$500&gt;=TODAY()-30)*('Workout Log'!$A$4:$A$500&lt;&gt;"")*(IFERROR(VLOOKUP('Workout Log'!J$4:J$500,'Exercise Library'!$B$4:$D$200,3,FALSE()),"")=A15))+SUMPRODUCT(('Workout Log'!$A$4:$A$500&gt;=TODAY()-30)*('Workout Log'!$A$4:$A$500&lt;&gt;"")*(IFERROR(VLOOKUP('Workout Log'!K$4:K$500,'Exercise Library'!$B$4:$C$200,2,FALSE()),"")=A15))+SUMPRODUCT(('Workout Log'!$A$4:$A$500&gt;=TODAY()-30)*('Workout Log'!$A$4:$A$500&lt;&gt;"")*(IFERROR(VLOOKUP('Workout Log'!K$4:K$500,'Exercise Library'!$B$4:$D$200,3,FALSE()),"")=A15))+SUMPRODUCT(('Workout Log'!$A$4:$A$500&gt;=TODAY()-30)*('Workout Log'!$A$4:$A$500&lt;&gt;"")*(IFERROR(VLOOKUP('Workout Log'!L$4:L$500,'Exercise Library'!$B$4:$C$200,2,FALSE()),"")=A15))+SUMPRODUCT(('Workout Log'!$A$4:$A$500&gt;=TODAY()-30)*('Workout Log'!$A$4:$A$500&lt;&gt;"")*(IFERROR(VLOOKUP('Workout Log'!L$4:L$500,'Exercise Library'!$B$4:$D$200,3,FALSE()),"")=A15))+SUMPRODUCT(('Workout Log'!$A$4:$A$500&gt;=TODAY()-30)*('Workout Log'!$A$4:$A$500&lt;&gt;"")*(IFERROR(VLOOKUP('Workout Log'!M$4:M$500,'Exercise Library'!$B$4:$C$200,2,FALSE()),"")=A15))+SUMPRODUCT(('Workout Log'!$A$4:$A$500&gt;=TODAY()-30)*('Workout Log'!$A$4:$A$500&lt;&gt;"")*(IFERROR(VLOOKUP('Workout Log'!M$4:M$500,'Exercise Library'!$B$4:$D$200,3,FALSE()),"")=A15))</f>
        <v>0</v>
      </c>
      <c r="E15" s="14" t="n">
        <f aca="false">SUMPRODUCT(('Workout Log'!$A$4:$A$500&gt;0)*('Workout Log'!$A$4:$A$500&lt;&gt;"")*(IFERROR(VLOOKUP('Workout Log'!F$4:F$500,'Exercise Library'!$B$4:$C$200,2,FALSE()),"")=A15))+SUMPRODUCT(('Workout Log'!$A$4:$A$500&gt;0)*('Workout Log'!$A$4:$A$500&lt;&gt;"")*(IFERROR(VLOOKUP('Workout Log'!F$4:F$500,'Exercise Library'!$B$4:$D$200,3,FALSE()),"")=A15))+SUMPRODUCT(('Workout Log'!$A$4:$A$500&gt;0)*('Workout Log'!$A$4:$A$500&lt;&gt;"")*(IFERROR(VLOOKUP('Workout Log'!G$4:G$500,'Exercise Library'!$B$4:$C$200,2,FALSE()),"")=A15))+SUMPRODUCT(('Workout Log'!$A$4:$A$500&gt;0)*('Workout Log'!$A$4:$A$500&lt;&gt;"")*(IFERROR(VLOOKUP('Workout Log'!G$4:G$500,'Exercise Library'!$B$4:$D$200,3,FALSE()),"")=A15))+SUMPRODUCT(('Workout Log'!$A$4:$A$500&gt;0)*('Workout Log'!$A$4:$A$500&lt;&gt;"")*(IFERROR(VLOOKUP('Workout Log'!H$4:H$500,'Exercise Library'!$B$4:$C$200,2,FALSE()),"")=A15))+SUMPRODUCT(('Workout Log'!$A$4:$A$500&gt;0)*('Workout Log'!$A$4:$A$500&lt;&gt;"")*(IFERROR(VLOOKUP('Workout Log'!H$4:H$500,'Exercise Library'!$B$4:$D$200,3,FALSE()),"")=A15))+SUMPRODUCT(('Workout Log'!$A$4:$A$500&gt;0)*('Workout Log'!$A$4:$A$500&lt;&gt;"")*(IFERROR(VLOOKUP('Workout Log'!I$4:I$500,'Exercise Library'!$B$4:$C$200,2,FALSE()),"")=A15))+SUMPRODUCT(('Workout Log'!$A$4:$A$500&gt;0)*('Workout Log'!$A$4:$A$500&lt;&gt;"")*(IFERROR(VLOOKUP('Workout Log'!I$4:I$500,'Exercise Library'!$B$4:$D$200,3,FALSE()),"")=A15))+SUMPRODUCT(('Workout Log'!$A$4:$A$500&gt;0)*('Workout Log'!$A$4:$A$500&lt;&gt;"")*(IFERROR(VLOOKUP('Workout Log'!J$4:J$500,'Exercise Library'!$B$4:$C$200,2,FALSE()),"")=A15))+SUMPRODUCT(('Workout Log'!$A$4:$A$500&gt;0)*('Workout Log'!$A$4:$A$500&lt;&gt;"")*(IFERROR(VLOOKUP('Workout Log'!J$4:J$500,'Exercise Library'!$B$4:$D$200,3,FALSE()),"")=A15))+SUMPRODUCT(('Workout Log'!$A$4:$A$500&gt;0)*('Workout Log'!$A$4:$A$500&lt;&gt;"")*(IFERROR(VLOOKUP('Workout Log'!K$4:K$500,'Exercise Library'!$B$4:$C$200,2,FALSE()),"")=A15))+SUMPRODUCT(('Workout Log'!$A$4:$A$500&gt;0)*('Workout Log'!$A$4:$A$500&lt;&gt;"")*(IFERROR(VLOOKUP('Workout Log'!K$4:K$500,'Exercise Library'!$B$4:$D$200,3,FALSE()),"")=A15))+SUMPRODUCT(('Workout Log'!$A$4:$A$500&gt;0)*('Workout Log'!$A$4:$A$500&lt;&gt;"")*(IFERROR(VLOOKUP('Workout Log'!L$4:L$500,'Exercise Library'!$B$4:$C$200,2,FALSE()),"")=A15))+SUMPRODUCT(('Workout Log'!$A$4:$A$500&gt;0)*('Workout Log'!$A$4:$A$500&lt;&gt;"")*(IFERROR(VLOOKUP('Workout Log'!L$4:L$500,'Exercise Library'!$B$4:$D$200,3,FALSE()),"")=A15))+SUMPRODUCT(('Workout Log'!$A$4:$A$500&gt;0)*('Workout Log'!$A$4:$A$500&lt;&gt;"")*(IFERROR(VLOOKUP('Workout Log'!M$4:M$500,'Exercise Library'!$B$4:$C$200,2,FALSE()),"")=A15))+SUMPRODUCT(('Workout Log'!$A$4:$A$500&gt;0)*('Workout Log'!$A$4:$A$500&lt;&gt;"")*(IFERROR(VLOOKUP('Workout Log'!M$4:M$500,'Exercise Library'!$B$4:$D$200,3,FALSE()),"")=A15))</f>
        <v>0</v>
      </c>
      <c r="F15" s="14" t="str">
        <f aca="true">IF(E15=0,"Never",IFERROR(TODAY()-MAX(B15*0+TODAY()-7),"N/A"))</f>
        <v>Never</v>
      </c>
      <c r="G15" s="24" t="n">
        <v>2</v>
      </c>
      <c r="H15" s="14" t="n">
        <f aca="false">MAX(0, G15-B15)</f>
        <v>2</v>
      </c>
    </row>
    <row r="16" customFormat="false" ht="15" hidden="false" customHeight="false" outlineLevel="0" collapsed="false">
      <c r="A16" s="16" t="s">
        <v>132</v>
      </c>
      <c r="B16" s="16" t="n">
        <f aca="true">SUMPRODUCT(('Workout Log'!$A$4:$A$500&gt;=TODAY()-7)*('Workout Log'!$A$4:$A$500&lt;&gt;"")*(IFERROR(VLOOKUP('Workout Log'!F$4:F$500,'Exercise Library'!$B$4:$C$200,2,FALSE()),"")=A16))+SUMPRODUCT(('Workout Log'!$A$4:$A$500&gt;=TODAY()-7)*('Workout Log'!$A$4:$A$500&lt;&gt;"")*(IFERROR(VLOOKUP('Workout Log'!F$4:F$500,'Exercise Library'!$B$4:$D$200,3,FALSE()),"")=A16))+SUMPRODUCT(('Workout Log'!$A$4:$A$500&gt;=TODAY()-7)*('Workout Log'!$A$4:$A$500&lt;&gt;"")*(IFERROR(VLOOKUP('Workout Log'!G$4:G$500,'Exercise Library'!$B$4:$C$200,2,FALSE()),"")=A16))+SUMPRODUCT(('Workout Log'!$A$4:$A$500&gt;=TODAY()-7)*('Workout Log'!$A$4:$A$500&lt;&gt;"")*(IFERROR(VLOOKUP('Workout Log'!G$4:G$500,'Exercise Library'!$B$4:$D$200,3,FALSE()),"")=A16))+SUMPRODUCT(('Workout Log'!$A$4:$A$500&gt;=TODAY()-7)*('Workout Log'!$A$4:$A$500&lt;&gt;"")*(IFERROR(VLOOKUP('Workout Log'!H$4:H$500,'Exercise Library'!$B$4:$C$200,2,FALSE()),"")=A16))+SUMPRODUCT(('Workout Log'!$A$4:$A$500&gt;=TODAY()-7)*('Workout Log'!$A$4:$A$500&lt;&gt;"")*(IFERROR(VLOOKUP('Workout Log'!H$4:H$500,'Exercise Library'!$B$4:$D$200,3,FALSE()),"")=A16))+SUMPRODUCT(('Workout Log'!$A$4:$A$500&gt;=TODAY()-7)*('Workout Log'!$A$4:$A$500&lt;&gt;"")*(IFERROR(VLOOKUP('Workout Log'!I$4:I$500,'Exercise Library'!$B$4:$C$200,2,FALSE()),"")=A16))+SUMPRODUCT(('Workout Log'!$A$4:$A$500&gt;=TODAY()-7)*('Workout Log'!$A$4:$A$500&lt;&gt;"")*(IFERROR(VLOOKUP('Workout Log'!I$4:I$500,'Exercise Library'!$B$4:$D$200,3,FALSE()),"")=A16))+SUMPRODUCT(('Workout Log'!$A$4:$A$500&gt;=TODAY()-7)*('Workout Log'!$A$4:$A$500&lt;&gt;"")*(IFERROR(VLOOKUP('Workout Log'!J$4:J$500,'Exercise Library'!$B$4:$C$200,2,FALSE()),"")=A16))+SUMPRODUCT(('Workout Log'!$A$4:$A$500&gt;=TODAY()-7)*('Workout Log'!$A$4:$A$500&lt;&gt;"")*(IFERROR(VLOOKUP('Workout Log'!J$4:J$500,'Exercise Library'!$B$4:$D$200,3,FALSE()),"")=A16))+SUMPRODUCT(('Workout Log'!$A$4:$A$500&gt;=TODAY()-7)*('Workout Log'!$A$4:$A$500&lt;&gt;"")*(IFERROR(VLOOKUP('Workout Log'!K$4:K$500,'Exercise Library'!$B$4:$C$200,2,FALSE()),"")=A16))+SUMPRODUCT(('Workout Log'!$A$4:$A$500&gt;=TODAY()-7)*('Workout Log'!$A$4:$A$500&lt;&gt;"")*(IFERROR(VLOOKUP('Workout Log'!K$4:K$500,'Exercise Library'!$B$4:$D$200,3,FALSE()),"")=A16))+SUMPRODUCT(('Workout Log'!$A$4:$A$500&gt;=TODAY()-7)*('Workout Log'!$A$4:$A$500&lt;&gt;"")*(IFERROR(VLOOKUP('Workout Log'!L$4:L$500,'Exercise Library'!$B$4:$C$200,2,FALSE()),"")=A16))+SUMPRODUCT(('Workout Log'!$A$4:$A$500&gt;=TODAY()-7)*('Workout Log'!$A$4:$A$500&lt;&gt;"")*(IFERROR(VLOOKUP('Workout Log'!L$4:L$500,'Exercise Library'!$B$4:$D$200,3,FALSE()),"")=A16))+SUMPRODUCT(('Workout Log'!$A$4:$A$500&gt;=TODAY()-7)*('Workout Log'!$A$4:$A$500&lt;&gt;"")*(IFERROR(VLOOKUP('Workout Log'!M$4:M$500,'Exercise Library'!$B$4:$C$200,2,FALSE()),"")=A16))+SUMPRODUCT(('Workout Log'!$A$4:$A$500&gt;=TODAY()-7)*('Workout Log'!$A$4:$A$500&lt;&gt;"")*(IFERROR(VLOOKUP('Workout Log'!M$4:M$500,'Exercise Library'!$B$4:$D$200,3,FALSE()),"")=A16))</f>
        <v>0</v>
      </c>
      <c r="C16" s="16" t="n">
        <f aca="true">SUMPRODUCT(('Workout Log'!$A$4:$A$500&gt;=TODAY()-14)*('Workout Log'!$A$4:$A$500&lt;&gt;"")*(IFERROR(VLOOKUP('Workout Log'!F$4:F$500,'Exercise Library'!$B$4:$C$200,2,FALSE()),"")=A16))+SUMPRODUCT(('Workout Log'!$A$4:$A$500&gt;=TODAY()-14)*('Workout Log'!$A$4:$A$500&lt;&gt;"")*(IFERROR(VLOOKUP('Workout Log'!F$4:F$500,'Exercise Library'!$B$4:$D$200,3,FALSE()),"")=A16))+SUMPRODUCT(('Workout Log'!$A$4:$A$500&gt;=TODAY()-14)*('Workout Log'!$A$4:$A$500&lt;&gt;"")*(IFERROR(VLOOKUP('Workout Log'!G$4:G$500,'Exercise Library'!$B$4:$C$200,2,FALSE()),"")=A16))+SUMPRODUCT(('Workout Log'!$A$4:$A$500&gt;=TODAY()-14)*('Workout Log'!$A$4:$A$500&lt;&gt;"")*(IFERROR(VLOOKUP('Workout Log'!G$4:G$500,'Exercise Library'!$B$4:$D$200,3,FALSE()),"")=A16))+SUMPRODUCT(('Workout Log'!$A$4:$A$500&gt;=TODAY()-14)*('Workout Log'!$A$4:$A$500&lt;&gt;"")*(IFERROR(VLOOKUP('Workout Log'!H$4:H$500,'Exercise Library'!$B$4:$C$200,2,FALSE()),"")=A16))+SUMPRODUCT(('Workout Log'!$A$4:$A$500&gt;=TODAY()-14)*('Workout Log'!$A$4:$A$500&lt;&gt;"")*(IFERROR(VLOOKUP('Workout Log'!H$4:H$500,'Exercise Library'!$B$4:$D$200,3,FALSE()),"")=A16))+SUMPRODUCT(('Workout Log'!$A$4:$A$500&gt;=TODAY()-14)*('Workout Log'!$A$4:$A$500&lt;&gt;"")*(IFERROR(VLOOKUP('Workout Log'!I$4:I$500,'Exercise Library'!$B$4:$C$200,2,FALSE()),"")=A16))+SUMPRODUCT(('Workout Log'!$A$4:$A$500&gt;=TODAY()-14)*('Workout Log'!$A$4:$A$500&lt;&gt;"")*(IFERROR(VLOOKUP('Workout Log'!I$4:I$500,'Exercise Library'!$B$4:$D$200,3,FALSE()),"")=A16))+SUMPRODUCT(('Workout Log'!$A$4:$A$500&gt;=TODAY()-14)*('Workout Log'!$A$4:$A$500&lt;&gt;"")*(IFERROR(VLOOKUP('Workout Log'!J$4:J$500,'Exercise Library'!$B$4:$C$200,2,FALSE()),"")=A16))+SUMPRODUCT(('Workout Log'!$A$4:$A$500&gt;=TODAY()-14)*('Workout Log'!$A$4:$A$500&lt;&gt;"")*(IFERROR(VLOOKUP('Workout Log'!J$4:J$500,'Exercise Library'!$B$4:$D$200,3,FALSE()),"")=A16))+SUMPRODUCT(('Workout Log'!$A$4:$A$500&gt;=TODAY()-14)*('Workout Log'!$A$4:$A$500&lt;&gt;"")*(IFERROR(VLOOKUP('Workout Log'!K$4:K$500,'Exercise Library'!$B$4:$C$200,2,FALSE()),"")=A16))+SUMPRODUCT(('Workout Log'!$A$4:$A$500&gt;=TODAY()-14)*('Workout Log'!$A$4:$A$500&lt;&gt;"")*(IFERROR(VLOOKUP('Workout Log'!K$4:K$500,'Exercise Library'!$B$4:$D$200,3,FALSE()),"")=A16))+SUMPRODUCT(('Workout Log'!$A$4:$A$500&gt;=TODAY()-14)*('Workout Log'!$A$4:$A$500&lt;&gt;"")*(IFERROR(VLOOKUP('Workout Log'!L$4:L$500,'Exercise Library'!$B$4:$C$200,2,FALSE()),"")=A16))+SUMPRODUCT(('Workout Log'!$A$4:$A$500&gt;=TODAY()-14)*('Workout Log'!$A$4:$A$500&lt;&gt;"")*(IFERROR(VLOOKUP('Workout Log'!L$4:L$500,'Exercise Library'!$B$4:$D$200,3,FALSE()),"")=A16))+SUMPRODUCT(('Workout Log'!$A$4:$A$500&gt;=TODAY()-14)*('Workout Log'!$A$4:$A$500&lt;&gt;"")*(IFERROR(VLOOKUP('Workout Log'!M$4:M$500,'Exercise Library'!$B$4:$C$200,2,FALSE()),"")=A16))+SUMPRODUCT(('Workout Log'!$A$4:$A$500&gt;=TODAY()-14)*('Workout Log'!$A$4:$A$500&lt;&gt;"")*(IFERROR(VLOOKUP('Workout Log'!M$4:M$500,'Exercise Library'!$B$4:$D$200,3,FALSE()),"")=A16))</f>
        <v>0</v>
      </c>
      <c r="D16" s="16" t="n">
        <f aca="true">SUMPRODUCT(('Workout Log'!$A$4:$A$500&gt;=TODAY()-30)*('Workout Log'!$A$4:$A$500&lt;&gt;"")*(IFERROR(VLOOKUP('Workout Log'!F$4:F$500,'Exercise Library'!$B$4:$C$200,2,FALSE()),"")=A16))+SUMPRODUCT(('Workout Log'!$A$4:$A$500&gt;=TODAY()-30)*('Workout Log'!$A$4:$A$500&lt;&gt;"")*(IFERROR(VLOOKUP('Workout Log'!F$4:F$500,'Exercise Library'!$B$4:$D$200,3,FALSE()),"")=A16))+SUMPRODUCT(('Workout Log'!$A$4:$A$500&gt;=TODAY()-30)*('Workout Log'!$A$4:$A$500&lt;&gt;"")*(IFERROR(VLOOKUP('Workout Log'!G$4:G$500,'Exercise Library'!$B$4:$C$200,2,FALSE()),"")=A16))+SUMPRODUCT(('Workout Log'!$A$4:$A$500&gt;=TODAY()-30)*('Workout Log'!$A$4:$A$500&lt;&gt;"")*(IFERROR(VLOOKUP('Workout Log'!G$4:G$500,'Exercise Library'!$B$4:$D$200,3,FALSE()),"")=A16))+SUMPRODUCT(('Workout Log'!$A$4:$A$500&gt;=TODAY()-30)*('Workout Log'!$A$4:$A$500&lt;&gt;"")*(IFERROR(VLOOKUP('Workout Log'!H$4:H$500,'Exercise Library'!$B$4:$C$200,2,FALSE()),"")=A16))+SUMPRODUCT(('Workout Log'!$A$4:$A$500&gt;=TODAY()-30)*('Workout Log'!$A$4:$A$500&lt;&gt;"")*(IFERROR(VLOOKUP('Workout Log'!H$4:H$500,'Exercise Library'!$B$4:$D$200,3,FALSE()),"")=A16))+SUMPRODUCT(('Workout Log'!$A$4:$A$500&gt;=TODAY()-30)*('Workout Log'!$A$4:$A$500&lt;&gt;"")*(IFERROR(VLOOKUP('Workout Log'!I$4:I$500,'Exercise Library'!$B$4:$C$200,2,FALSE()),"")=A16))+SUMPRODUCT(('Workout Log'!$A$4:$A$500&gt;=TODAY()-30)*('Workout Log'!$A$4:$A$500&lt;&gt;"")*(IFERROR(VLOOKUP('Workout Log'!I$4:I$500,'Exercise Library'!$B$4:$D$200,3,FALSE()),"")=A16))+SUMPRODUCT(('Workout Log'!$A$4:$A$500&gt;=TODAY()-30)*('Workout Log'!$A$4:$A$500&lt;&gt;"")*(IFERROR(VLOOKUP('Workout Log'!J$4:J$500,'Exercise Library'!$B$4:$C$200,2,FALSE()),"")=A16))+SUMPRODUCT(('Workout Log'!$A$4:$A$500&gt;=TODAY()-30)*('Workout Log'!$A$4:$A$500&lt;&gt;"")*(IFERROR(VLOOKUP('Workout Log'!J$4:J$500,'Exercise Library'!$B$4:$D$200,3,FALSE()),"")=A16))+SUMPRODUCT(('Workout Log'!$A$4:$A$500&gt;=TODAY()-30)*('Workout Log'!$A$4:$A$500&lt;&gt;"")*(IFERROR(VLOOKUP('Workout Log'!K$4:K$500,'Exercise Library'!$B$4:$C$200,2,FALSE()),"")=A16))+SUMPRODUCT(('Workout Log'!$A$4:$A$500&gt;=TODAY()-30)*('Workout Log'!$A$4:$A$500&lt;&gt;"")*(IFERROR(VLOOKUP('Workout Log'!K$4:K$500,'Exercise Library'!$B$4:$D$200,3,FALSE()),"")=A16))+SUMPRODUCT(('Workout Log'!$A$4:$A$500&gt;=TODAY()-30)*('Workout Log'!$A$4:$A$500&lt;&gt;"")*(IFERROR(VLOOKUP('Workout Log'!L$4:L$500,'Exercise Library'!$B$4:$C$200,2,FALSE()),"")=A16))+SUMPRODUCT(('Workout Log'!$A$4:$A$500&gt;=TODAY()-30)*('Workout Log'!$A$4:$A$500&lt;&gt;"")*(IFERROR(VLOOKUP('Workout Log'!L$4:L$500,'Exercise Library'!$B$4:$D$200,3,FALSE()),"")=A16))+SUMPRODUCT(('Workout Log'!$A$4:$A$500&gt;=TODAY()-30)*('Workout Log'!$A$4:$A$500&lt;&gt;"")*(IFERROR(VLOOKUP('Workout Log'!M$4:M$500,'Exercise Library'!$B$4:$C$200,2,FALSE()),"")=A16))+SUMPRODUCT(('Workout Log'!$A$4:$A$500&gt;=TODAY()-30)*('Workout Log'!$A$4:$A$500&lt;&gt;"")*(IFERROR(VLOOKUP('Workout Log'!M$4:M$500,'Exercise Library'!$B$4:$D$200,3,FALSE()),"")=A16))</f>
        <v>0</v>
      </c>
      <c r="E16" s="16" t="n">
        <f aca="false">SUMPRODUCT(('Workout Log'!$A$4:$A$500&gt;0)*('Workout Log'!$A$4:$A$500&lt;&gt;"")*(IFERROR(VLOOKUP('Workout Log'!F$4:F$500,'Exercise Library'!$B$4:$C$200,2,FALSE()),"")=A16))+SUMPRODUCT(('Workout Log'!$A$4:$A$500&gt;0)*('Workout Log'!$A$4:$A$500&lt;&gt;"")*(IFERROR(VLOOKUP('Workout Log'!F$4:F$500,'Exercise Library'!$B$4:$D$200,3,FALSE()),"")=A16))+SUMPRODUCT(('Workout Log'!$A$4:$A$500&gt;0)*('Workout Log'!$A$4:$A$500&lt;&gt;"")*(IFERROR(VLOOKUP('Workout Log'!G$4:G$500,'Exercise Library'!$B$4:$C$200,2,FALSE()),"")=A16))+SUMPRODUCT(('Workout Log'!$A$4:$A$500&gt;0)*('Workout Log'!$A$4:$A$500&lt;&gt;"")*(IFERROR(VLOOKUP('Workout Log'!G$4:G$500,'Exercise Library'!$B$4:$D$200,3,FALSE()),"")=A16))+SUMPRODUCT(('Workout Log'!$A$4:$A$500&gt;0)*('Workout Log'!$A$4:$A$500&lt;&gt;"")*(IFERROR(VLOOKUP('Workout Log'!H$4:H$500,'Exercise Library'!$B$4:$C$200,2,FALSE()),"")=A16))+SUMPRODUCT(('Workout Log'!$A$4:$A$500&gt;0)*('Workout Log'!$A$4:$A$500&lt;&gt;"")*(IFERROR(VLOOKUP('Workout Log'!H$4:H$500,'Exercise Library'!$B$4:$D$200,3,FALSE()),"")=A16))+SUMPRODUCT(('Workout Log'!$A$4:$A$500&gt;0)*('Workout Log'!$A$4:$A$500&lt;&gt;"")*(IFERROR(VLOOKUP('Workout Log'!I$4:I$500,'Exercise Library'!$B$4:$C$200,2,FALSE()),"")=A16))+SUMPRODUCT(('Workout Log'!$A$4:$A$500&gt;0)*('Workout Log'!$A$4:$A$500&lt;&gt;"")*(IFERROR(VLOOKUP('Workout Log'!I$4:I$500,'Exercise Library'!$B$4:$D$200,3,FALSE()),"")=A16))+SUMPRODUCT(('Workout Log'!$A$4:$A$500&gt;0)*('Workout Log'!$A$4:$A$500&lt;&gt;"")*(IFERROR(VLOOKUP('Workout Log'!J$4:J$500,'Exercise Library'!$B$4:$C$200,2,FALSE()),"")=A16))+SUMPRODUCT(('Workout Log'!$A$4:$A$500&gt;0)*('Workout Log'!$A$4:$A$500&lt;&gt;"")*(IFERROR(VLOOKUP('Workout Log'!J$4:J$500,'Exercise Library'!$B$4:$D$200,3,FALSE()),"")=A16))+SUMPRODUCT(('Workout Log'!$A$4:$A$500&gt;0)*('Workout Log'!$A$4:$A$500&lt;&gt;"")*(IFERROR(VLOOKUP('Workout Log'!K$4:K$500,'Exercise Library'!$B$4:$C$200,2,FALSE()),"")=A16))+SUMPRODUCT(('Workout Log'!$A$4:$A$500&gt;0)*('Workout Log'!$A$4:$A$500&lt;&gt;"")*(IFERROR(VLOOKUP('Workout Log'!K$4:K$500,'Exercise Library'!$B$4:$D$200,3,FALSE()),"")=A16))+SUMPRODUCT(('Workout Log'!$A$4:$A$500&gt;0)*('Workout Log'!$A$4:$A$500&lt;&gt;"")*(IFERROR(VLOOKUP('Workout Log'!L$4:L$500,'Exercise Library'!$B$4:$C$200,2,FALSE()),"")=A16))+SUMPRODUCT(('Workout Log'!$A$4:$A$500&gt;0)*('Workout Log'!$A$4:$A$500&lt;&gt;"")*(IFERROR(VLOOKUP('Workout Log'!L$4:L$500,'Exercise Library'!$B$4:$D$200,3,FALSE()),"")=A16))+SUMPRODUCT(('Workout Log'!$A$4:$A$500&gt;0)*('Workout Log'!$A$4:$A$500&lt;&gt;"")*(IFERROR(VLOOKUP('Workout Log'!M$4:M$500,'Exercise Library'!$B$4:$C$200,2,FALSE()),"")=A16))+SUMPRODUCT(('Workout Log'!$A$4:$A$500&gt;0)*('Workout Log'!$A$4:$A$500&lt;&gt;"")*(IFERROR(VLOOKUP('Workout Log'!M$4:M$500,'Exercise Library'!$B$4:$D$200,3,FALSE()),"")=A16))</f>
        <v>0</v>
      </c>
      <c r="F16" s="16" t="str">
        <f aca="true">IF(E16=0,"Never",IFERROR(TODAY()-MAX(B16*0+TODAY()-7),"N/A"))</f>
        <v>Never</v>
      </c>
      <c r="G16" s="24" t="n">
        <v>2</v>
      </c>
      <c r="H16" s="16" t="n">
        <f aca="false">MAX(0, G16-B16)</f>
        <v>2</v>
      </c>
    </row>
    <row r="17" customFormat="false" ht="15" hidden="false" customHeight="false" outlineLevel="0" collapsed="false">
      <c r="A17" s="14" t="s">
        <v>52</v>
      </c>
      <c r="B17" s="14" t="n">
        <f aca="true">SUMPRODUCT(('Workout Log'!$A$4:$A$500&gt;=TODAY()-7)*('Workout Log'!$A$4:$A$500&lt;&gt;"")*(IFERROR(VLOOKUP('Workout Log'!F$4:F$500,'Exercise Library'!$B$4:$C$200,2,FALSE()),"")=A17))+SUMPRODUCT(('Workout Log'!$A$4:$A$500&gt;=TODAY()-7)*('Workout Log'!$A$4:$A$500&lt;&gt;"")*(IFERROR(VLOOKUP('Workout Log'!F$4:F$500,'Exercise Library'!$B$4:$D$200,3,FALSE()),"")=A17))+SUMPRODUCT(('Workout Log'!$A$4:$A$500&gt;=TODAY()-7)*('Workout Log'!$A$4:$A$500&lt;&gt;"")*(IFERROR(VLOOKUP('Workout Log'!G$4:G$500,'Exercise Library'!$B$4:$C$200,2,FALSE()),"")=A17))+SUMPRODUCT(('Workout Log'!$A$4:$A$500&gt;=TODAY()-7)*('Workout Log'!$A$4:$A$500&lt;&gt;"")*(IFERROR(VLOOKUP('Workout Log'!G$4:G$500,'Exercise Library'!$B$4:$D$200,3,FALSE()),"")=A17))+SUMPRODUCT(('Workout Log'!$A$4:$A$500&gt;=TODAY()-7)*('Workout Log'!$A$4:$A$500&lt;&gt;"")*(IFERROR(VLOOKUP('Workout Log'!H$4:H$500,'Exercise Library'!$B$4:$C$200,2,FALSE()),"")=A17))+SUMPRODUCT(('Workout Log'!$A$4:$A$500&gt;=TODAY()-7)*('Workout Log'!$A$4:$A$500&lt;&gt;"")*(IFERROR(VLOOKUP('Workout Log'!H$4:H$500,'Exercise Library'!$B$4:$D$200,3,FALSE()),"")=A17))+SUMPRODUCT(('Workout Log'!$A$4:$A$500&gt;=TODAY()-7)*('Workout Log'!$A$4:$A$500&lt;&gt;"")*(IFERROR(VLOOKUP('Workout Log'!I$4:I$500,'Exercise Library'!$B$4:$C$200,2,FALSE()),"")=A17))+SUMPRODUCT(('Workout Log'!$A$4:$A$500&gt;=TODAY()-7)*('Workout Log'!$A$4:$A$500&lt;&gt;"")*(IFERROR(VLOOKUP('Workout Log'!I$4:I$500,'Exercise Library'!$B$4:$D$200,3,FALSE()),"")=A17))+SUMPRODUCT(('Workout Log'!$A$4:$A$500&gt;=TODAY()-7)*('Workout Log'!$A$4:$A$500&lt;&gt;"")*(IFERROR(VLOOKUP('Workout Log'!J$4:J$500,'Exercise Library'!$B$4:$C$200,2,FALSE()),"")=A17))+SUMPRODUCT(('Workout Log'!$A$4:$A$500&gt;=TODAY()-7)*('Workout Log'!$A$4:$A$500&lt;&gt;"")*(IFERROR(VLOOKUP('Workout Log'!J$4:J$500,'Exercise Library'!$B$4:$D$200,3,FALSE()),"")=A17))+SUMPRODUCT(('Workout Log'!$A$4:$A$500&gt;=TODAY()-7)*('Workout Log'!$A$4:$A$500&lt;&gt;"")*(IFERROR(VLOOKUP('Workout Log'!K$4:K$500,'Exercise Library'!$B$4:$C$200,2,FALSE()),"")=A17))+SUMPRODUCT(('Workout Log'!$A$4:$A$500&gt;=TODAY()-7)*('Workout Log'!$A$4:$A$500&lt;&gt;"")*(IFERROR(VLOOKUP('Workout Log'!K$4:K$500,'Exercise Library'!$B$4:$D$200,3,FALSE()),"")=A17))+SUMPRODUCT(('Workout Log'!$A$4:$A$500&gt;=TODAY()-7)*('Workout Log'!$A$4:$A$500&lt;&gt;"")*(IFERROR(VLOOKUP('Workout Log'!L$4:L$500,'Exercise Library'!$B$4:$C$200,2,FALSE()),"")=A17))+SUMPRODUCT(('Workout Log'!$A$4:$A$500&gt;=TODAY()-7)*('Workout Log'!$A$4:$A$500&lt;&gt;"")*(IFERROR(VLOOKUP('Workout Log'!L$4:L$500,'Exercise Library'!$B$4:$D$200,3,FALSE()),"")=A17))+SUMPRODUCT(('Workout Log'!$A$4:$A$500&gt;=TODAY()-7)*('Workout Log'!$A$4:$A$500&lt;&gt;"")*(IFERROR(VLOOKUP('Workout Log'!M$4:M$500,'Exercise Library'!$B$4:$C$200,2,FALSE()),"")=A17))+SUMPRODUCT(('Workout Log'!$A$4:$A$500&gt;=TODAY()-7)*('Workout Log'!$A$4:$A$500&lt;&gt;"")*(IFERROR(VLOOKUP('Workout Log'!M$4:M$500,'Exercise Library'!$B$4:$D$200,3,FALSE()),"")=A17))</f>
        <v>0</v>
      </c>
      <c r="C17" s="14" t="n">
        <f aca="true">SUMPRODUCT(('Workout Log'!$A$4:$A$500&gt;=TODAY()-14)*('Workout Log'!$A$4:$A$500&lt;&gt;"")*(IFERROR(VLOOKUP('Workout Log'!F$4:F$500,'Exercise Library'!$B$4:$C$200,2,FALSE()),"")=A17))+SUMPRODUCT(('Workout Log'!$A$4:$A$500&gt;=TODAY()-14)*('Workout Log'!$A$4:$A$500&lt;&gt;"")*(IFERROR(VLOOKUP('Workout Log'!F$4:F$500,'Exercise Library'!$B$4:$D$200,3,FALSE()),"")=A17))+SUMPRODUCT(('Workout Log'!$A$4:$A$500&gt;=TODAY()-14)*('Workout Log'!$A$4:$A$500&lt;&gt;"")*(IFERROR(VLOOKUP('Workout Log'!G$4:G$500,'Exercise Library'!$B$4:$C$200,2,FALSE()),"")=A17))+SUMPRODUCT(('Workout Log'!$A$4:$A$500&gt;=TODAY()-14)*('Workout Log'!$A$4:$A$500&lt;&gt;"")*(IFERROR(VLOOKUP('Workout Log'!G$4:G$500,'Exercise Library'!$B$4:$D$200,3,FALSE()),"")=A17))+SUMPRODUCT(('Workout Log'!$A$4:$A$500&gt;=TODAY()-14)*('Workout Log'!$A$4:$A$500&lt;&gt;"")*(IFERROR(VLOOKUP('Workout Log'!H$4:H$500,'Exercise Library'!$B$4:$C$200,2,FALSE()),"")=A17))+SUMPRODUCT(('Workout Log'!$A$4:$A$500&gt;=TODAY()-14)*('Workout Log'!$A$4:$A$500&lt;&gt;"")*(IFERROR(VLOOKUP('Workout Log'!H$4:H$500,'Exercise Library'!$B$4:$D$200,3,FALSE()),"")=A17))+SUMPRODUCT(('Workout Log'!$A$4:$A$500&gt;=TODAY()-14)*('Workout Log'!$A$4:$A$500&lt;&gt;"")*(IFERROR(VLOOKUP('Workout Log'!I$4:I$500,'Exercise Library'!$B$4:$C$200,2,FALSE()),"")=A17))+SUMPRODUCT(('Workout Log'!$A$4:$A$500&gt;=TODAY()-14)*('Workout Log'!$A$4:$A$500&lt;&gt;"")*(IFERROR(VLOOKUP('Workout Log'!I$4:I$500,'Exercise Library'!$B$4:$D$200,3,FALSE()),"")=A17))+SUMPRODUCT(('Workout Log'!$A$4:$A$500&gt;=TODAY()-14)*('Workout Log'!$A$4:$A$500&lt;&gt;"")*(IFERROR(VLOOKUP('Workout Log'!J$4:J$500,'Exercise Library'!$B$4:$C$200,2,FALSE()),"")=A17))+SUMPRODUCT(('Workout Log'!$A$4:$A$500&gt;=TODAY()-14)*('Workout Log'!$A$4:$A$500&lt;&gt;"")*(IFERROR(VLOOKUP('Workout Log'!J$4:J$500,'Exercise Library'!$B$4:$D$200,3,FALSE()),"")=A17))+SUMPRODUCT(('Workout Log'!$A$4:$A$500&gt;=TODAY()-14)*('Workout Log'!$A$4:$A$500&lt;&gt;"")*(IFERROR(VLOOKUP('Workout Log'!K$4:K$500,'Exercise Library'!$B$4:$C$200,2,FALSE()),"")=A17))+SUMPRODUCT(('Workout Log'!$A$4:$A$500&gt;=TODAY()-14)*('Workout Log'!$A$4:$A$500&lt;&gt;"")*(IFERROR(VLOOKUP('Workout Log'!K$4:K$500,'Exercise Library'!$B$4:$D$200,3,FALSE()),"")=A17))+SUMPRODUCT(('Workout Log'!$A$4:$A$500&gt;=TODAY()-14)*('Workout Log'!$A$4:$A$500&lt;&gt;"")*(IFERROR(VLOOKUP('Workout Log'!L$4:L$500,'Exercise Library'!$B$4:$C$200,2,FALSE()),"")=A17))+SUMPRODUCT(('Workout Log'!$A$4:$A$500&gt;=TODAY()-14)*('Workout Log'!$A$4:$A$500&lt;&gt;"")*(IFERROR(VLOOKUP('Workout Log'!L$4:L$500,'Exercise Library'!$B$4:$D$200,3,FALSE()),"")=A17))+SUMPRODUCT(('Workout Log'!$A$4:$A$500&gt;=TODAY()-14)*('Workout Log'!$A$4:$A$500&lt;&gt;"")*(IFERROR(VLOOKUP('Workout Log'!M$4:M$500,'Exercise Library'!$B$4:$C$200,2,FALSE()),"")=A17))+SUMPRODUCT(('Workout Log'!$A$4:$A$500&gt;=TODAY()-14)*('Workout Log'!$A$4:$A$500&lt;&gt;"")*(IFERROR(VLOOKUP('Workout Log'!M$4:M$500,'Exercise Library'!$B$4:$D$200,3,FALSE()),"")=A17))</f>
        <v>0</v>
      </c>
      <c r="D17" s="14" t="n">
        <f aca="true">SUMPRODUCT(('Workout Log'!$A$4:$A$500&gt;=TODAY()-30)*('Workout Log'!$A$4:$A$500&lt;&gt;"")*(IFERROR(VLOOKUP('Workout Log'!F$4:F$500,'Exercise Library'!$B$4:$C$200,2,FALSE()),"")=A17))+SUMPRODUCT(('Workout Log'!$A$4:$A$500&gt;=TODAY()-30)*('Workout Log'!$A$4:$A$500&lt;&gt;"")*(IFERROR(VLOOKUP('Workout Log'!F$4:F$500,'Exercise Library'!$B$4:$D$200,3,FALSE()),"")=A17))+SUMPRODUCT(('Workout Log'!$A$4:$A$500&gt;=TODAY()-30)*('Workout Log'!$A$4:$A$500&lt;&gt;"")*(IFERROR(VLOOKUP('Workout Log'!G$4:G$500,'Exercise Library'!$B$4:$C$200,2,FALSE()),"")=A17))+SUMPRODUCT(('Workout Log'!$A$4:$A$500&gt;=TODAY()-30)*('Workout Log'!$A$4:$A$500&lt;&gt;"")*(IFERROR(VLOOKUP('Workout Log'!G$4:G$500,'Exercise Library'!$B$4:$D$200,3,FALSE()),"")=A17))+SUMPRODUCT(('Workout Log'!$A$4:$A$500&gt;=TODAY()-30)*('Workout Log'!$A$4:$A$500&lt;&gt;"")*(IFERROR(VLOOKUP('Workout Log'!H$4:H$500,'Exercise Library'!$B$4:$C$200,2,FALSE()),"")=A17))+SUMPRODUCT(('Workout Log'!$A$4:$A$500&gt;=TODAY()-30)*('Workout Log'!$A$4:$A$500&lt;&gt;"")*(IFERROR(VLOOKUP('Workout Log'!H$4:H$500,'Exercise Library'!$B$4:$D$200,3,FALSE()),"")=A17))+SUMPRODUCT(('Workout Log'!$A$4:$A$500&gt;=TODAY()-30)*('Workout Log'!$A$4:$A$500&lt;&gt;"")*(IFERROR(VLOOKUP('Workout Log'!I$4:I$500,'Exercise Library'!$B$4:$C$200,2,FALSE()),"")=A17))+SUMPRODUCT(('Workout Log'!$A$4:$A$500&gt;=TODAY()-30)*('Workout Log'!$A$4:$A$500&lt;&gt;"")*(IFERROR(VLOOKUP('Workout Log'!I$4:I$500,'Exercise Library'!$B$4:$D$200,3,FALSE()),"")=A17))+SUMPRODUCT(('Workout Log'!$A$4:$A$500&gt;=TODAY()-30)*('Workout Log'!$A$4:$A$500&lt;&gt;"")*(IFERROR(VLOOKUP('Workout Log'!J$4:J$500,'Exercise Library'!$B$4:$C$200,2,FALSE()),"")=A17))+SUMPRODUCT(('Workout Log'!$A$4:$A$500&gt;=TODAY()-30)*('Workout Log'!$A$4:$A$500&lt;&gt;"")*(IFERROR(VLOOKUP('Workout Log'!J$4:J$500,'Exercise Library'!$B$4:$D$200,3,FALSE()),"")=A17))+SUMPRODUCT(('Workout Log'!$A$4:$A$500&gt;=TODAY()-30)*('Workout Log'!$A$4:$A$500&lt;&gt;"")*(IFERROR(VLOOKUP('Workout Log'!K$4:K$500,'Exercise Library'!$B$4:$C$200,2,FALSE()),"")=A17))+SUMPRODUCT(('Workout Log'!$A$4:$A$500&gt;=TODAY()-30)*('Workout Log'!$A$4:$A$500&lt;&gt;"")*(IFERROR(VLOOKUP('Workout Log'!K$4:K$500,'Exercise Library'!$B$4:$D$200,3,FALSE()),"")=A17))+SUMPRODUCT(('Workout Log'!$A$4:$A$500&gt;=TODAY()-30)*('Workout Log'!$A$4:$A$500&lt;&gt;"")*(IFERROR(VLOOKUP('Workout Log'!L$4:L$500,'Exercise Library'!$B$4:$C$200,2,FALSE()),"")=A17))+SUMPRODUCT(('Workout Log'!$A$4:$A$500&gt;=TODAY()-30)*('Workout Log'!$A$4:$A$500&lt;&gt;"")*(IFERROR(VLOOKUP('Workout Log'!L$4:L$500,'Exercise Library'!$B$4:$D$200,3,FALSE()),"")=A17))+SUMPRODUCT(('Workout Log'!$A$4:$A$500&gt;=TODAY()-30)*('Workout Log'!$A$4:$A$500&lt;&gt;"")*(IFERROR(VLOOKUP('Workout Log'!M$4:M$500,'Exercise Library'!$B$4:$C$200,2,FALSE()),"")=A17))+SUMPRODUCT(('Workout Log'!$A$4:$A$500&gt;=TODAY()-30)*('Workout Log'!$A$4:$A$500&lt;&gt;"")*(IFERROR(VLOOKUP('Workout Log'!M$4:M$500,'Exercise Library'!$B$4:$D$200,3,FALSE()),"")=A17))</f>
        <v>0</v>
      </c>
      <c r="E17" s="14" t="n">
        <f aca="false">SUMPRODUCT(('Workout Log'!$A$4:$A$500&gt;0)*('Workout Log'!$A$4:$A$500&lt;&gt;"")*(IFERROR(VLOOKUP('Workout Log'!F$4:F$500,'Exercise Library'!$B$4:$C$200,2,FALSE()),"")=A17))+SUMPRODUCT(('Workout Log'!$A$4:$A$500&gt;0)*('Workout Log'!$A$4:$A$500&lt;&gt;"")*(IFERROR(VLOOKUP('Workout Log'!F$4:F$500,'Exercise Library'!$B$4:$D$200,3,FALSE()),"")=A17))+SUMPRODUCT(('Workout Log'!$A$4:$A$500&gt;0)*('Workout Log'!$A$4:$A$500&lt;&gt;"")*(IFERROR(VLOOKUP('Workout Log'!G$4:G$500,'Exercise Library'!$B$4:$C$200,2,FALSE()),"")=A17))+SUMPRODUCT(('Workout Log'!$A$4:$A$500&gt;0)*('Workout Log'!$A$4:$A$500&lt;&gt;"")*(IFERROR(VLOOKUP('Workout Log'!G$4:G$500,'Exercise Library'!$B$4:$D$200,3,FALSE()),"")=A17))+SUMPRODUCT(('Workout Log'!$A$4:$A$500&gt;0)*('Workout Log'!$A$4:$A$500&lt;&gt;"")*(IFERROR(VLOOKUP('Workout Log'!H$4:H$500,'Exercise Library'!$B$4:$C$200,2,FALSE()),"")=A17))+SUMPRODUCT(('Workout Log'!$A$4:$A$500&gt;0)*('Workout Log'!$A$4:$A$500&lt;&gt;"")*(IFERROR(VLOOKUP('Workout Log'!H$4:H$500,'Exercise Library'!$B$4:$D$200,3,FALSE()),"")=A17))+SUMPRODUCT(('Workout Log'!$A$4:$A$500&gt;0)*('Workout Log'!$A$4:$A$500&lt;&gt;"")*(IFERROR(VLOOKUP('Workout Log'!I$4:I$500,'Exercise Library'!$B$4:$C$200,2,FALSE()),"")=A17))+SUMPRODUCT(('Workout Log'!$A$4:$A$500&gt;0)*('Workout Log'!$A$4:$A$500&lt;&gt;"")*(IFERROR(VLOOKUP('Workout Log'!I$4:I$500,'Exercise Library'!$B$4:$D$200,3,FALSE()),"")=A17))+SUMPRODUCT(('Workout Log'!$A$4:$A$500&gt;0)*('Workout Log'!$A$4:$A$500&lt;&gt;"")*(IFERROR(VLOOKUP('Workout Log'!J$4:J$500,'Exercise Library'!$B$4:$C$200,2,FALSE()),"")=A17))+SUMPRODUCT(('Workout Log'!$A$4:$A$500&gt;0)*('Workout Log'!$A$4:$A$500&lt;&gt;"")*(IFERROR(VLOOKUP('Workout Log'!J$4:J$500,'Exercise Library'!$B$4:$D$200,3,FALSE()),"")=A17))+SUMPRODUCT(('Workout Log'!$A$4:$A$500&gt;0)*('Workout Log'!$A$4:$A$500&lt;&gt;"")*(IFERROR(VLOOKUP('Workout Log'!K$4:K$500,'Exercise Library'!$B$4:$C$200,2,FALSE()),"")=A17))+SUMPRODUCT(('Workout Log'!$A$4:$A$500&gt;0)*('Workout Log'!$A$4:$A$500&lt;&gt;"")*(IFERROR(VLOOKUP('Workout Log'!K$4:K$500,'Exercise Library'!$B$4:$D$200,3,FALSE()),"")=A17))+SUMPRODUCT(('Workout Log'!$A$4:$A$500&gt;0)*('Workout Log'!$A$4:$A$500&lt;&gt;"")*(IFERROR(VLOOKUP('Workout Log'!L$4:L$500,'Exercise Library'!$B$4:$C$200,2,FALSE()),"")=A17))+SUMPRODUCT(('Workout Log'!$A$4:$A$500&gt;0)*('Workout Log'!$A$4:$A$500&lt;&gt;"")*(IFERROR(VLOOKUP('Workout Log'!L$4:L$500,'Exercise Library'!$B$4:$D$200,3,FALSE()),"")=A17))+SUMPRODUCT(('Workout Log'!$A$4:$A$500&gt;0)*('Workout Log'!$A$4:$A$500&lt;&gt;"")*(IFERROR(VLOOKUP('Workout Log'!M$4:M$500,'Exercise Library'!$B$4:$C$200,2,FALSE()),"")=A17))+SUMPRODUCT(('Workout Log'!$A$4:$A$500&gt;0)*('Workout Log'!$A$4:$A$500&lt;&gt;"")*(IFERROR(VLOOKUP('Workout Log'!M$4:M$500,'Exercise Library'!$B$4:$D$200,3,FALSE()),"")=A17))</f>
        <v>0</v>
      </c>
      <c r="F17" s="14" t="str">
        <f aca="true">IF(E17=0,"Never",IFERROR(TODAY()-MAX(B17*0+TODAY()-7),"N/A"))</f>
        <v>Never</v>
      </c>
      <c r="G17" s="24" t="n">
        <v>2</v>
      </c>
      <c r="H17" s="14" t="n">
        <f aca="false">MAX(0, G17-B17)</f>
        <v>2</v>
      </c>
    </row>
    <row r="18" customFormat="false" ht="15" hidden="false" customHeight="false" outlineLevel="0" collapsed="false">
      <c r="A18" s="16" t="s">
        <v>155</v>
      </c>
      <c r="B18" s="16" t="n">
        <f aca="true">SUMPRODUCT(('Workout Log'!$A$4:$A$500&gt;=TODAY()-7)*('Workout Log'!$A$4:$A$500&lt;&gt;"")*(IFERROR(VLOOKUP('Workout Log'!F$4:F$500,'Exercise Library'!$B$4:$C$200,2,FALSE()),"")=A18))+SUMPRODUCT(('Workout Log'!$A$4:$A$500&gt;=TODAY()-7)*('Workout Log'!$A$4:$A$500&lt;&gt;"")*(IFERROR(VLOOKUP('Workout Log'!F$4:F$500,'Exercise Library'!$B$4:$D$200,3,FALSE()),"")=A18))+SUMPRODUCT(('Workout Log'!$A$4:$A$500&gt;=TODAY()-7)*('Workout Log'!$A$4:$A$500&lt;&gt;"")*(IFERROR(VLOOKUP('Workout Log'!G$4:G$500,'Exercise Library'!$B$4:$C$200,2,FALSE()),"")=A18))+SUMPRODUCT(('Workout Log'!$A$4:$A$500&gt;=TODAY()-7)*('Workout Log'!$A$4:$A$500&lt;&gt;"")*(IFERROR(VLOOKUP('Workout Log'!G$4:G$500,'Exercise Library'!$B$4:$D$200,3,FALSE()),"")=A18))+SUMPRODUCT(('Workout Log'!$A$4:$A$500&gt;=TODAY()-7)*('Workout Log'!$A$4:$A$500&lt;&gt;"")*(IFERROR(VLOOKUP('Workout Log'!H$4:H$500,'Exercise Library'!$B$4:$C$200,2,FALSE()),"")=A18))+SUMPRODUCT(('Workout Log'!$A$4:$A$500&gt;=TODAY()-7)*('Workout Log'!$A$4:$A$500&lt;&gt;"")*(IFERROR(VLOOKUP('Workout Log'!H$4:H$500,'Exercise Library'!$B$4:$D$200,3,FALSE()),"")=A18))+SUMPRODUCT(('Workout Log'!$A$4:$A$500&gt;=TODAY()-7)*('Workout Log'!$A$4:$A$500&lt;&gt;"")*(IFERROR(VLOOKUP('Workout Log'!I$4:I$500,'Exercise Library'!$B$4:$C$200,2,FALSE()),"")=A18))+SUMPRODUCT(('Workout Log'!$A$4:$A$500&gt;=TODAY()-7)*('Workout Log'!$A$4:$A$500&lt;&gt;"")*(IFERROR(VLOOKUP('Workout Log'!I$4:I$500,'Exercise Library'!$B$4:$D$200,3,FALSE()),"")=A18))+SUMPRODUCT(('Workout Log'!$A$4:$A$500&gt;=TODAY()-7)*('Workout Log'!$A$4:$A$500&lt;&gt;"")*(IFERROR(VLOOKUP('Workout Log'!J$4:J$500,'Exercise Library'!$B$4:$C$200,2,FALSE()),"")=A18))+SUMPRODUCT(('Workout Log'!$A$4:$A$500&gt;=TODAY()-7)*('Workout Log'!$A$4:$A$500&lt;&gt;"")*(IFERROR(VLOOKUP('Workout Log'!J$4:J$500,'Exercise Library'!$B$4:$D$200,3,FALSE()),"")=A18))+SUMPRODUCT(('Workout Log'!$A$4:$A$500&gt;=TODAY()-7)*('Workout Log'!$A$4:$A$500&lt;&gt;"")*(IFERROR(VLOOKUP('Workout Log'!K$4:K$500,'Exercise Library'!$B$4:$C$200,2,FALSE()),"")=A18))+SUMPRODUCT(('Workout Log'!$A$4:$A$500&gt;=TODAY()-7)*('Workout Log'!$A$4:$A$500&lt;&gt;"")*(IFERROR(VLOOKUP('Workout Log'!K$4:K$500,'Exercise Library'!$B$4:$D$200,3,FALSE()),"")=A18))+SUMPRODUCT(('Workout Log'!$A$4:$A$500&gt;=TODAY()-7)*('Workout Log'!$A$4:$A$500&lt;&gt;"")*(IFERROR(VLOOKUP('Workout Log'!L$4:L$500,'Exercise Library'!$B$4:$C$200,2,FALSE()),"")=A18))+SUMPRODUCT(('Workout Log'!$A$4:$A$500&gt;=TODAY()-7)*('Workout Log'!$A$4:$A$500&lt;&gt;"")*(IFERROR(VLOOKUP('Workout Log'!L$4:L$500,'Exercise Library'!$B$4:$D$200,3,FALSE()),"")=A18))+SUMPRODUCT(('Workout Log'!$A$4:$A$500&gt;=TODAY()-7)*('Workout Log'!$A$4:$A$500&lt;&gt;"")*(IFERROR(VLOOKUP('Workout Log'!M$4:M$500,'Exercise Library'!$B$4:$C$200,2,FALSE()),"")=A18))+SUMPRODUCT(('Workout Log'!$A$4:$A$500&gt;=TODAY()-7)*('Workout Log'!$A$4:$A$500&lt;&gt;"")*(IFERROR(VLOOKUP('Workout Log'!M$4:M$500,'Exercise Library'!$B$4:$D$200,3,FALSE()),"")=A18))</f>
        <v>0</v>
      </c>
      <c r="C18" s="16" t="n">
        <f aca="true">SUMPRODUCT(('Workout Log'!$A$4:$A$500&gt;=TODAY()-14)*('Workout Log'!$A$4:$A$500&lt;&gt;"")*(IFERROR(VLOOKUP('Workout Log'!F$4:F$500,'Exercise Library'!$B$4:$C$200,2,FALSE()),"")=A18))+SUMPRODUCT(('Workout Log'!$A$4:$A$500&gt;=TODAY()-14)*('Workout Log'!$A$4:$A$500&lt;&gt;"")*(IFERROR(VLOOKUP('Workout Log'!F$4:F$500,'Exercise Library'!$B$4:$D$200,3,FALSE()),"")=A18))+SUMPRODUCT(('Workout Log'!$A$4:$A$500&gt;=TODAY()-14)*('Workout Log'!$A$4:$A$500&lt;&gt;"")*(IFERROR(VLOOKUP('Workout Log'!G$4:G$500,'Exercise Library'!$B$4:$C$200,2,FALSE()),"")=A18))+SUMPRODUCT(('Workout Log'!$A$4:$A$500&gt;=TODAY()-14)*('Workout Log'!$A$4:$A$500&lt;&gt;"")*(IFERROR(VLOOKUP('Workout Log'!G$4:G$500,'Exercise Library'!$B$4:$D$200,3,FALSE()),"")=A18))+SUMPRODUCT(('Workout Log'!$A$4:$A$500&gt;=TODAY()-14)*('Workout Log'!$A$4:$A$500&lt;&gt;"")*(IFERROR(VLOOKUP('Workout Log'!H$4:H$500,'Exercise Library'!$B$4:$C$200,2,FALSE()),"")=A18))+SUMPRODUCT(('Workout Log'!$A$4:$A$500&gt;=TODAY()-14)*('Workout Log'!$A$4:$A$500&lt;&gt;"")*(IFERROR(VLOOKUP('Workout Log'!H$4:H$500,'Exercise Library'!$B$4:$D$200,3,FALSE()),"")=A18))+SUMPRODUCT(('Workout Log'!$A$4:$A$500&gt;=TODAY()-14)*('Workout Log'!$A$4:$A$500&lt;&gt;"")*(IFERROR(VLOOKUP('Workout Log'!I$4:I$500,'Exercise Library'!$B$4:$C$200,2,FALSE()),"")=A18))+SUMPRODUCT(('Workout Log'!$A$4:$A$500&gt;=TODAY()-14)*('Workout Log'!$A$4:$A$500&lt;&gt;"")*(IFERROR(VLOOKUP('Workout Log'!I$4:I$500,'Exercise Library'!$B$4:$D$200,3,FALSE()),"")=A18))+SUMPRODUCT(('Workout Log'!$A$4:$A$500&gt;=TODAY()-14)*('Workout Log'!$A$4:$A$500&lt;&gt;"")*(IFERROR(VLOOKUP('Workout Log'!J$4:J$500,'Exercise Library'!$B$4:$C$200,2,FALSE()),"")=A18))+SUMPRODUCT(('Workout Log'!$A$4:$A$500&gt;=TODAY()-14)*('Workout Log'!$A$4:$A$500&lt;&gt;"")*(IFERROR(VLOOKUP('Workout Log'!J$4:J$500,'Exercise Library'!$B$4:$D$200,3,FALSE()),"")=A18))+SUMPRODUCT(('Workout Log'!$A$4:$A$500&gt;=TODAY()-14)*('Workout Log'!$A$4:$A$500&lt;&gt;"")*(IFERROR(VLOOKUP('Workout Log'!K$4:K$500,'Exercise Library'!$B$4:$C$200,2,FALSE()),"")=A18))+SUMPRODUCT(('Workout Log'!$A$4:$A$500&gt;=TODAY()-14)*('Workout Log'!$A$4:$A$500&lt;&gt;"")*(IFERROR(VLOOKUP('Workout Log'!K$4:K$500,'Exercise Library'!$B$4:$D$200,3,FALSE()),"")=A18))+SUMPRODUCT(('Workout Log'!$A$4:$A$500&gt;=TODAY()-14)*('Workout Log'!$A$4:$A$500&lt;&gt;"")*(IFERROR(VLOOKUP('Workout Log'!L$4:L$500,'Exercise Library'!$B$4:$C$200,2,FALSE()),"")=A18))+SUMPRODUCT(('Workout Log'!$A$4:$A$500&gt;=TODAY()-14)*('Workout Log'!$A$4:$A$500&lt;&gt;"")*(IFERROR(VLOOKUP('Workout Log'!L$4:L$500,'Exercise Library'!$B$4:$D$200,3,FALSE()),"")=A18))+SUMPRODUCT(('Workout Log'!$A$4:$A$500&gt;=TODAY()-14)*('Workout Log'!$A$4:$A$500&lt;&gt;"")*(IFERROR(VLOOKUP('Workout Log'!M$4:M$500,'Exercise Library'!$B$4:$C$200,2,FALSE()),"")=A18))+SUMPRODUCT(('Workout Log'!$A$4:$A$500&gt;=TODAY()-14)*('Workout Log'!$A$4:$A$500&lt;&gt;"")*(IFERROR(VLOOKUP('Workout Log'!M$4:M$500,'Exercise Library'!$B$4:$D$200,3,FALSE()),"")=A18))</f>
        <v>0</v>
      </c>
      <c r="D18" s="16" t="n">
        <f aca="true">SUMPRODUCT(('Workout Log'!$A$4:$A$500&gt;=TODAY()-30)*('Workout Log'!$A$4:$A$500&lt;&gt;"")*(IFERROR(VLOOKUP('Workout Log'!F$4:F$500,'Exercise Library'!$B$4:$C$200,2,FALSE()),"")=A18))+SUMPRODUCT(('Workout Log'!$A$4:$A$500&gt;=TODAY()-30)*('Workout Log'!$A$4:$A$500&lt;&gt;"")*(IFERROR(VLOOKUP('Workout Log'!F$4:F$500,'Exercise Library'!$B$4:$D$200,3,FALSE()),"")=A18))+SUMPRODUCT(('Workout Log'!$A$4:$A$500&gt;=TODAY()-30)*('Workout Log'!$A$4:$A$500&lt;&gt;"")*(IFERROR(VLOOKUP('Workout Log'!G$4:G$500,'Exercise Library'!$B$4:$C$200,2,FALSE()),"")=A18))+SUMPRODUCT(('Workout Log'!$A$4:$A$500&gt;=TODAY()-30)*('Workout Log'!$A$4:$A$500&lt;&gt;"")*(IFERROR(VLOOKUP('Workout Log'!G$4:G$500,'Exercise Library'!$B$4:$D$200,3,FALSE()),"")=A18))+SUMPRODUCT(('Workout Log'!$A$4:$A$500&gt;=TODAY()-30)*('Workout Log'!$A$4:$A$500&lt;&gt;"")*(IFERROR(VLOOKUP('Workout Log'!H$4:H$500,'Exercise Library'!$B$4:$C$200,2,FALSE()),"")=A18))+SUMPRODUCT(('Workout Log'!$A$4:$A$500&gt;=TODAY()-30)*('Workout Log'!$A$4:$A$500&lt;&gt;"")*(IFERROR(VLOOKUP('Workout Log'!H$4:H$500,'Exercise Library'!$B$4:$D$200,3,FALSE()),"")=A18))+SUMPRODUCT(('Workout Log'!$A$4:$A$500&gt;=TODAY()-30)*('Workout Log'!$A$4:$A$500&lt;&gt;"")*(IFERROR(VLOOKUP('Workout Log'!I$4:I$500,'Exercise Library'!$B$4:$C$200,2,FALSE()),"")=A18))+SUMPRODUCT(('Workout Log'!$A$4:$A$500&gt;=TODAY()-30)*('Workout Log'!$A$4:$A$500&lt;&gt;"")*(IFERROR(VLOOKUP('Workout Log'!I$4:I$500,'Exercise Library'!$B$4:$D$200,3,FALSE()),"")=A18))+SUMPRODUCT(('Workout Log'!$A$4:$A$500&gt;=TODAY()-30)*('Workout Log'!$A$4:$A$500&lt;&gt;"")*(IFERROR(VLOOKUP('Workout Log'!J$4:J$500,'Exercise Library'!$B$4:$C$200,2,FALSE()),"")=A18))+SUMPRODUCT(('Workout Log'!$A$4:$A$500&gt;=TODAY()-30)*('Workout Log'!$A$4:$A$500&lt;&gt;"")*(IFERROR(VLOOKUP('Workout Log'!J$4:J$500,'Exercise Library'!$B$4:$D$200,3,FALSE()),"")=A18))+SUMPRODUCT(('Workout Log'!$A$4:$A$500&gt;=TODAY()-30)*('Workout Log'!$A$4:$A$500&lt;&gt;"")*(IFERROR(VLOOKUP('Workout Log'!K$4:K$500,'Exercise Library'!$B$4:$C$200,2,FALSE()),"")=A18))+SUMPRODUCT(('Workout Log'!$A$4:$A$500&gt;=TODAY()-30)*('Workout Log'!$A$4:$A$500&lt;&gt;"")*(IFERROR(VLOOKUP('Workout Log'!K$4:K$500,'Exercise Library'!$B$4:$D$200,3,FALSE()),"")=A18))+SUMPRODUCT(('Workout Log'!$A$4:$A$500&gt;=TODAY()-30)*('Workout Log'!$A$4:$A$500&lt;&gt;"")*(IFERROR(VLOOKUP('Workout Log'!L$4:L$500,'Exercise Library'!$B$4:$C$200,2,FALSE()),"")=A18))+SUMPRODUCT(('Workout Log'!$A$4:$A$500&gt;=TODAY()-30)*('Workout Log'!$A$4:$A$500&lt;&gt;"")*(IFERROR(VLOOKUP('Workout Log'!L$4:L$500,'Exercise Library'!$B$4:$D$200,3,FALSE()),"")=A18))+SUMPRODUCT(('Workout Log'!$A$4:$A$500&gt;=TODAY()-30)*('Workout Log'!$A$4:$A$500&lt;&gt;"")*(IFERROR(VLOOKUP('Workout Log'!M$4:M$500,'Exercise Library'!$B$4:$C$200,2,FALSE()),"")=A18))+SUMPRODUCT(('Workout Log'!$A$4:$A$500&gt;=TODAY()-30)*('Workout Log'!$A$4:$A$500&lt;&gt;"")*(IFERROR(VLOOKUP('Workout Log'!M$4:M$500,'Exercise Library'!$B$4:$D$200,3,FALSE()),"")=A18))</f>
        <v>0</v>
      </c>
      <c r="E18" s="16" t="n">
        <f aca="false">SUMPRODUCT(('Workout Log'!$A$4:$A$500&gt;0)*('Workout Log'!$A$4:$A$500&lt;&gt;"")*(IFERROR(VLOOKUP('Workout Log'!F$4:F$500,'Exercise Library'!$B$4:$C$200,2,FALSE()),"")=A18))+SUMPRODUCT(('Workout Log'!$A$4:$A$500&gt;0)*('Workout Log'!$A$4:$A$500&lt;&gt;"")*(IFERROR(VLOOKUP('Workout Log'!F$4:F$500,'Exercise Library'!$B$4:$D$200,3,FALSE()),"")=A18))+SUMPRODUCT(('Workout Log'!$A$4:$A$500&gt;0)*('Workout Log'!$A$4:$A$500&lt;&gt;"")*(IFERROR(VLOOKUP('Workout Log'!G$4:G$500,'Exercise Library'!$B$4:$C$200,2,FALSE()),"")=A18))+SUMPRODUCT(('Workout Log'!$A$4:$A$500&gt;0)*('Workout Log'!$A$4:$A$500&lt;&gt;"")*(IFERROR(VLOOKUP('Workout Log'!G$4:G$500,'Exercise Library'!$B$4:$D$200,3,FALSE()),"")=A18))+SUMPRODUCT(('Workout Log'!$A$4:$A$500&gt;0)*('Workout Log'!$A$4:$A$500&lt;&gt;"")*(IFERROR(VLOOKUP('Workout Log'!H$4:H$500,'Exercise Library'!$B$4:$C$200,2,FALSE()),"")=A18))+SUMPRODUCT(('Workout Log'!$A$4:$A$500&gt;0)*('Workout Log'!$A$4:$A$500&lt;&gt;"")*(IFERROR(VLOOKUP('Workout Log'!H$4:H$500,'Exercise Library'!$B$4:$D$200,3,FALSE()),"")=A18))+SUMPRODUCT(('Workout Log'!$A$4:$A$500&gt;0)*('Workout Log'!$A$4:$A$500&lt;&gt;"")*(IFERROR(VLOOKUP('Workout Log'!I$4:I$500,'Exercise Library'!$B$4:$C$200,2,FALSE()),"")=A18))+SUMPRODUCT(('Workout Log'!$A$4:$A$500&gt;0)*('Workout Log'!$A$4:$A$500&lt;&gt;"")*(IFERROR(VLOOKUP('Workout Log'!I$4:I$500,'Exercise Library'!$B$4:$D$200,3,FALSE()),"")=A18))+SUMPRODUCT(('Workout Log'!$A$4:$A$500&gt;0)*('Workout Log'!$A$4:$A$500&lt;&gt;"")*(IFERROR(VLOOKUP('Workout Log'!J$4:J$500,'Exercise Library'!$B$4:$C$200,2,FALSE()),"")=A18))+SUMPRODUCT(('Workout Log'!$A$4:$A$500&gt;0)*('Workout Log'!$A$4:$A$500&lt;&gt;"")*(IFERROR(VLOOKUP('Workout Log'!J$4:J$500,'Exercise Library'!$B$4:$D$200,3,FALSE()),"")=A18))+SUMPRODUCT(('Workout Log'!$A$4:$A$500&gt;0)*('Workout Log'!$A$4:$A$500&lt;&gt;"")*(IFERROR(VLOOKUP('Workout Log'!K$4:K$500,'Exercise Library'!$B$4:$C$200,2,FALSE()),"")=A18))+SUMPRODUCT(('Workout Log'!$A$4:$A$500&gt;0)*('Workout Log'!$A$4:$A$500&lt;&gt;"")*(IFERROR(VLOOKUP('Workout Log'!K$4:K$500,'Exercise Library'!$B$4:$D$200,3,FALSE()),"")=A18))+SUMPRODUCT(('Workout Log'!$A$4:$A$500&gt;0)*('Workout Log'!$A$4:$A$500&lt;&gt;"")*(IFERROR(VLOOKUP('Workout Log'!L$4:L$500,'Exercise Library'!$B$4:$C$200,2,FALSE()),"")=A18))+SUMPRODUCT(('Workout Log'!$A$4:$A$500&gt;0)*('Workout Log'!$A$4:$A$500&lt;&gt;"")*(IFERROR(VLOOKUP('Workout Log'!L$4:L$500,'Exercise Library'!$B$4:$D$200,3,FALSE()),"")=A18))+SUMPRODUCT(('Workout Log'!$A$4:$A$500&gt;0)*('Workout Log'!$A$4:$A$500&lt;&gt;"")*(IFERROR(VLOOKUP('Workout Log'!M$4:M$500,'Exercise Library'!$B$4:$C$200,2,FALSE()),"")=A18))+SUMPRODUCT(('Workout Log'!$A$4:$A$500&gt;0)*('Workout Log'!$A$4:$A$500&lt;&gt;"")*(IFERROR(VLOOKUP('Workout Log'!M$4:M$500,'Exercise Library'!$B$4:$D$200,3,FALSE()),"")=A18))</f>
        <v>0</v>
      </c>
      <c r="F18" s="16" t="str">
        <f aca="true">IF(E18=0,"Never",IFERROR(TODAY()-MAX(B18*0+TODAY()-7),"N/A"))</f>
        <v>Never</v>
      </c>
      <c r="G18" s="24" t="n">
        <v>2</v>
      </c>
      <c r="H18" s="16" t="n">
        <f aca="false">MAX(0, G18-B18)</f>
        <v>2</v>
      </c>
    </row>
    <row r="19" customFormat="false" ht="15" hidden="false" customHeight="false" outlineLevel="0" collapsed="false">
      <c r="A19" s="14" t="s">
        <v>165</v>
      </c>
      <c r="B19" s="14" t="n">
        <f aca="true">SUMPRODUCT(('Workout Log'!$A$4:$A$500&gt;=TODAY()-7)*('Workout Log'!$A$4:$A$500&lt;&gt;"")*(IFERROR(VLOOKUP('Workout Log'!F$4:F$500,'Exercise Library'!$B$4:$C$200,2,FALSE()),"")=A19))+SUMPRODUCT(('Workout Log'!$A$4:$A$500&gt;=TODAY()-7)*('Workout Log'!$A$4:$A$500&lt;&gt;"")*(IFERROR(VLOOKUP('Workout Log'!F$4:F$500,'Exercise Library'!$B$4:$D$200,3,FALSE()),"")=A19))+SUMPRODUCT(('Workout Log'!$A$4:$A$500&gt;=TODAY()-7)*('Workout Log'!$A$4:$A$500&lt;&gt;"")*(IFERROR(VLOOKUP('Workout Log'!G$4:G$500,'Exercise Library'!$B$4:$C$200,2,FALSE()),"")=A19))+SUMPRODUCT(('Workout Log'!$A$4:$A$500&gt;=TODAY()-7)*('Workout Log'!$A$4:$A$500&lt;&gt;"")*(IFERROR(VLOOKUP('Workout Log'!G$4:G$500,'Exercise Library'!$B$4:$D$200,3,FALSE()),"")=A19))+SUMPRODUCT(('Workout Log'!$A$4:$A$500&gt;=TODAY()-7)*('Workout Log'!$A$4:$A$500&lt;&gt;"")*(IFERROR(VLOOKUP('Workout Log'!H$4:H$500,'Exercise Library'!$B$4:$C$200,2,FALSE()),"")=A19))+SUMPRODUCT(('Workout Log'!$A$4:$A$500&gt;=TODAY()-7)*('Workout Log'!$A$4:$A$500&lt;&gt;"")*(IFERROR(VLOOKUP('Workout Log'!H$4:H$500,'Exercise Library'!$B$4:$D$200,3,FALSE()),"")=A19))+SUMPRODUCT(('Workout Log'!$A$4:$A$500&gt;=TODAY()-7)*('Workout Log'!$A$4:$A$500&lt;&gt;"")*(IFERROR(VLOOKUP('Workout Log'!I$4:I$500,'Exercise Library'!$B$4:$C$200,2,FALSE()),"")=A19))+SUMPRODUCT(('Workout Log'!$A$4:$A$500&gt;=TODAY()-7)*('Workout Log'!$A$4:$A$500&lt;&gt;"")*(IFERROR(VLOOKUP('Workout Log'!I$4:I$500,'Exercise Library'!$B$4:$D$200,3,FALSE()),"")=A19))+SUMPRODUCT(('Workout Log'!$A$4:$A$500&gt;=TODAY()-7)*('Workout Log'!$A$4:$A$500&lt;&gt;"")*(IFERROR(VLOOKUP('Workout Log'!J$4:J$500,'Exercise Library'!$B$4:$C$200,2,FALSE()),"")=A19))+SUMPRODUCT(('Workout Log'!$A$4:$A$500&gt;=TODAY()-7)*('Workout Log'!$A$4:$A$500&lt;&gt;"")*(IFERROR(VLOOKUP('Workout Log'!J$4:J$500,'Exercise Library'!$B$4:$D$200,3,FALSE()),"")=A19))+SUMPRODUCT(('Workout Log'!$A$4:$A$500&gt;=TODAY()-7)*('Workout Log'!$A$4:$A$500&lt;&gt;"")*(IFERROR(VLOOKUP('Workout Log'!K$4:K$500,'Exercise Library'!$B$4:$C$200,2,FALSE()),"")=A19))+SUMPRODUCT(('Workout Log'!$A$4:$A$500&gt;=TODAY()-7)*('Workout Log'!$A$4:$A$500&lt;&gt;"")*(IFERROR(VLOOKUP('Workout Log'!K$4:K$500,'Exercise Library'!$B$4:$D$200,3,FALSE()),"")=A19))+SUMPRODUCT(('Workout Log'!$A$4:$A$500&gt;=TODAY()-7)*('Workout Log'!$A$4:$A$500&lt;&gt;"")*(IFERROR(VLOOKUP('Workout Log'!L$4:L$500,'Exercise Library'!$B$4:$C$200,2,FALSE()),"")=A19))+SUMPRODUCT(('Workout Log'!$A$4:$A$500&gt;=TODAY()-7)*('Workout Log'!$A$4:$A$500&lt;&gt;"")*(IFERROR(VLOOKUP('Workout Log'!L$4:L$500,'Exercise Library'!$B$4:$D$200,3,FALSE()),"")=A19))+SUMPRODUCT(('Workout Log'!$A$4:$A$500&gt;=TODAY()-7)*('Workout Log'!$A$4:$A$500&lt;&gt;"")*(IFERROR(VLOOKUP('Workout Log'!M$4:M$500,'Exercise Library'!$B$4:$C$200,2,FALSE()),"")=A19))+SUMPRODUCT(('Workout Log'!$A$4:$A$500&gt;=TODAY()-7)*('Workout Log'!$A$4:$A$500&lt;&gt;"")*(IFERROR(VLOOKUP('Workout Log'!M$4:M$500,'Exercise Library'!$B$4:$D$200,3,FALSE()),"")=A19))</f>
        <v>0</v>
      </c>
      <c r="C19" s="14" t="n">
        <f aca="true">SUMPRODUCT(('Workout Log'!$A$4:$A$500&gt;=TODAY()-14)*('Workout Log'!$A$4:$A$500&lt;&gt;"")*(IFERROR(VLOOKUP('Workout Log'!F$4:F$500,'Exercise Library'!$B$4:$C$200,2,FALSE()),"")=A19))+SUMPRODUCT(('Workout Log'!$A$4:$A$500&gt;=TODAY()-14)*('Workout Log'!$A$4:$A$500&lt;&gt;"")*(IFERROR(VLOOKUP('Workout Log'!F$4:F$500,'Exercise Library'!$B$4:$D$200,3,FALSE()),"")=A19))+SUMPRODUCT(('Workout Log'!$A$4:$A$500&gt;=TODAY()-14)*('Workout Log'!$A$4:$A$500&lt;&gt;"")*(IFERROR(VLOOKUP('Workout Log'!G$4:G$500,'Exercise Library'!$B$4:$C$200,2,FALSE()),"")=A19))+SUMPRODUCT(('Workout Log'!$A$4:$A$500&gt;=TODAY()-14)*('Workout Log'!$A$4:$A$500&lt;&gt;"")*(IFERROR(VLOOKUP('Workout Log'!G$4:G$500,'Exercise Library'!$B$4:$D$200,3,FALSE()),"")=A19))+SUMPRODUCT(('Workout Log'!$A$4:$A$500&gt;=TODAY()-14)*('Workout Log'!$A$4:$A$500&lt;&gt;"")*(IFERROR(VLOOKUP('Workout Log'!H$4:H$500,'Exercise Library'!$B$4:$C$200,2,FALSE()),"")=A19))+SUMPRODUCT(('Workout Log'!$A$4:$A$500&gt;=TODAY()-14)*('Workout Log'!$A$4:$A$500&lt;&gt;"")*(IFERROR(VLOOKUP('Workout Log'!H$4:H$500,'Exercise Library'!$B$4:$D$200,3,FALSE()),"")=A19))+SUMPRODUCT(('Workout Log'!$A$4:$A$500&gt;=TODAY()-14)*('Workout Log'!$A$4:$A$500&lt;&gt;"")*(IFERROR(VLOOKUP('Workout Log'!I$4:I$500,'Exercise Library'!$B$4:$C$200,2,FALSE()),"")=A19))+SUMPRODUCT(('Workout Log'!$A$4:$A$500&gt;=TODAY()-14)*('Workout Log'!$A$4:$A$500&lt;&gt;"")*(IFERROR(VLOOKUP('Workout Log'!I$4:I$500,'Exercise Library'!$B$4:$D$200,3,FALSE()),"")=A19))+SUMPRODUCT(('Workout Log'!$A$4:$A$500&gt;=TODAY()-14)*('Workout Log'!$A$4:$A$500&lt;&gt;"")*(IFERROR(VLOOKUP('Workout Log'!J$4:J$500,'Exercise Library'!$B$4:$C$200,2,FALSE()),"")=A19))+SUMPRODUCT(('Workout Log'!$A$4:$A$500&gt;=TODAY()-14)*('Workout Log'!$A$4:$A$500&lt;&gt;"")*(IFERROR(VLOOKUP('Workout Log'!J$4:J$500,'Exercise Library'!$B$4:$D$200,3,FALSE()),"")=A19))+SUMPRODUCT(('Workout Log'!$A$4:$A$500&gt;=TODAY()-14)*('Workout Log'!$A$4:$A$500&lt;&gt;"")*(IFERROR(VLOOKUP('Workout Log'!K$4:K$500,'Exercise Library'!$B$4:$C$200,2,FALSE()),"")=A19))+SUMPRODUCT(('Workout Log'!$A$4:$A$500&gt;=TODAY()-14)*('Workout Log'!$A$4:$A$500&lt;&gt;"")*(IFERROR(VLOOKUP('Workout Log'!K$4:K$500,'Exercise Library'!$B$4:$D$200,3,FALSE()),"")=A19))+SUMPRODUCT(('Workout Log'!$A$4:$A$500&gt;=TODAY()-14)*('Workout Log'!$A$4:$A$500&lt;&gt;"")*(IFERROR(VLOOKUP('Workout Log'!L$4:L$500,'Exercise Library'!$B$4:$C$200,2,FALSE()),"")=A19))+SUMPRODUCT(('Workout Log'!$A$4:$A$500&gt;=TODAY()-14)*('Workout Log'!$A$4:$A$500&lt;&gt;"")*(IFERROR(VLOOKUP('Workout Log'!L$4:L$500,'Exercise Library'!$B$4:$D$200,3,FALSE()),"")=A19))+SUMPRODUCT(('Workout Log'!$A$4:$A$500&gt;=TODAY()-14)*('Workout Log'!$A$4:$A$500&lt;&gt;"")*(IFERROR(VLOOKUP('Workout Log'!M$4:M$500,'Exercise Library'!$B$4:$C$200,2,FALSE()),"")=A19))+SUMPRODUCT(('Workout Log'!$A$4:$A$500&gt;=TODAY()-14)*('Workout Log'!$A$4:$A$500&lt;&gt;"")*(IFERROR(VLOOKUP('Workout Log'!M$4:M$500,'Exercise Library'!$B$4:$D$200,3,FALSE()),"")=A19))</f>
        <v>0</v>
      </c>
      <c r="D19" s="14" t="n">
        <f aca="true">SUMPRODUCT(('Workout Log'!$A$4:$A$500&gt;=TODAY()-30)*('Workout Log'!$A$4:$A$500&lt;&gt;"")*(IFERROR(VLOOKUP('Workout Log'!F$4:F$500,'Exercise Library'!$B$4:$C$200,2,FALSE()),"")=A19))+SUMPRODUCT(('Workout Log'!$A$4:$A$500&gt;=TODAY()-30)*('Workout Log'!$A$4:$A$500&lt;&gt;"")*(IFERROR(VLOOKUP('Workout Log'!F$4:F$500,'Exercise Library'!$B$4:$D$200,3,FALSE()),"")=A19))+SUMPRODUCT(('Workout Log'!$A$4:$A$500&gt;=TODAY()-30)*('Workout Log'!$A$4:$A$500&lt;&gt;"")*(IFERROR(VLOOKUP('Workout Log'!G$4:G$500,'Exercise Library'!$B$4:$C$200,2,FALSE()),"")=A19))+SUMPRODUCT(('Workout Log'!$A$4:$A$500&gt;=TODAY()-30)*('Workout Log'!$A$4:$A$500&lt;&gt;"")*(IFERROR(VLOOKUP('Workout Log'!G$4:G$500,'Exercise Library'!$B$4:$D$200,3,FALSE()),"")=A19))+SUMPRODUCT(('Workout Log'!$A$4:$A$500&gt;=TODAY()-30)*('Workout Log'!$A$4:$A$500&lt;&gt;"")*(IFERROR(VLOOKUP('Workout Log'!H$4:H$500,'Exercise Library'!$B$4:$C$200,2,FALSE()),"")=A19))+SUMPRODUCT(('Workout Log'!$A$4:$A$500&gt;=TODAY()-30)*('Workout Log'!$A$4:$A$500&lt;&gt;"")*(IFERROR(VLOOKUP('Workout Log'!H$4:H$500,'Exercise Library'!$B$4:$D$200,3,FALSE()),"")=A19))+SUMPRODUCT(('Workout Log'!$A$4:$A$500&gt;=TODAY()-30)*('Workout Log'!$A$4:$A$500&lt;&gt;"")*(IFERROR(VLOOKUP('Workout Log'!I$4:I$500,'Exercise Library'!$B$4:$C$200,2,FALSE()),"")=A19))+SUMPRODUCT(('Workout Log'!$A$4:$A$500&gt;=TODAY()-30)*('Workout Log'!$A$4:$A$500&lt;&gt;"")*(IFERROR(VLOOKUP('Workout Log'!I$4:I$500,'Exercise Library'!$B$4:$D$200,3,FALSE()),"")=A19))+SUMPRODUCT(('Workout Log'!$A$4:$A$500&gt;=TODAY()-30)*('Workout Log'!$A$4:$A$500&lt;&gt;"")*(IFERROR(VLOOKUP('Workout Log'!J$4:J$500,'Exercise Library'!$B$4:$C$200,2,FALSE()),"")=A19))+SUMPRODUCT(('Workout Log'!$A$4:$A$500&gt;=TODAY()-30)*('Workout Log'!$A$4:$A$500&lt;&gt;"")*(IFERROR(VLOOKUP('Workout Log'!J$4:J$500,'Exercise Library'!$B$4:$D$200,3,FALSE()),"")=A19))+SUMPRODUCT(('Workout Log'!$A$4:$A$500&gt;=TODAY()-30)*('Workout Log'!$A$4:$A$500&lt;&gt;"")*(IFERROR(VLOOKUP('Workout Log'!K$4:K$500,'Exercise Library'!$B$4:$C$200,2,FALSE()),"")=A19))+SUMPRODUCT(('Workout Log'!$A$4:$A$500&gt;=TODAY()-30)*('Workout Log'!$A$4:$A$500&lt;&gt;"")*(IFERROR(VLOOKUP('Workout Log'!K$4:K$500,'Exercise Library'!$B$4:$D$200,3,FALSE()),"")=A19))+SUMPRODUCT(('Workout Log'!$A$4:$A$500&gt;=TODAY()-30)*('Workout Log'!$A$4:$A$500&lt;&gt;"")*(IFERROR(VLOOKUP('Workout Log'!L$4:L$500,'Exercise Library'!$B$4:$C$200,2,FALSE()),"")=A19))+SUMPRODUCT(('Workout Log'!$A$4:$A$500&gt;=TODAY()-30)*('Workout Log'!$A$4:$A$500&lt;&gt;"")*(IFERROR(VLOOKUP('Workout Log'!L$4:L$500,'Exercise Library'!$B$4:$D$200,3,FALSE()),"")=A19))+SUMPRODUCT(('Workout Log'!$A$4:$A$500&gt;=TODAY()-30)*('Workout Log'!$A$4:$A$500&lt;&gt;"")*(IFERROR(VLOOKUP('Workout Log'!M$4:M$500,'Exercise Library'!$B$4:$C$200,2,FALSE()),"")=A19))+SUMPRODUCT(('Workout Log'!$A$4:$A$500&gt;=TODAY()-30)*('Workout Log'!$A$4:$A$500&lt;&gt;"")*(IFERROR(VLOOKUP('Workout Log'!M$4:M$500,'Exercise Library'!$B$4:$D$200,3,FALSE()),"")=A19))</f>
        <v>0</v>
      </c>
      <c r="E19" s="14" t="n">
        <f aca="false">SUMPRODUCT(('Workout Log'!$A$4:$A$500&gt;0)*('Workout Log'!$A$4:$A$500&lt;&gt;"")*(IFERROR(VLOOKUP('Workout Log'!F$4:F$500,'Exercise Library'!$B$4:$C$200,2,FALSE()),"")=A19))+SUMPRODUCT(('Workout Log'!$A$4:$A$500&gt;0)*('Workout Log'!$A$4:$A$500&lt;&gt;"")*(IFERROR(VLOOKUP('Workout Log'!F$4:F$500,'Exercise Library'!$B$4:$D$200,3,FALSE()),"")=A19))+SUMPRODUCT(('Workout Log'!$A$4:$A$500&gt;0)*('Workout Log'!$A$4:$A$500&lt;&gt;"")*(IFERROR(VLOOKUP('Workout Log'!G$4:G$500,'Exercise Library'!$B$4:$C$200,2,FALSE()),"")=A19))+SUMPRODUCT(('Workout Log'!$A$4:$A$500&gt;0)*('Workout Log'!$A$4:$A$500&lt;&gt;"")*(IFERROR(VLOOKUP('Workout Log'!G$4:G$500,'Exercise Library'!$B$4:$D$200,3,FALSE()),"")=A19))+SUMPRODUCT(('Workout Log'!$A$4:$A$500&gt;0)*('Workout Log'!$A$4:$A$500&lt;&gt;"")*(IFERROR(VLOOKUP('Workout Log'!H$4:H$500,'Exercise Library'!$B$4:$C$200,2,FALSE()),"")=A19))+SUMPRODUCT(('Workout Log'!$A$4:$A$500&gt;0)*('Workout Log'!$A$4:$A$500&lt;&gt;"")*(IFERROR(VLOOKUP('Workout Log'!H$4:H$500,'Exercise Library'!$B$4:$D$200,3,FALSE()),"")=A19))+SUMPRODUCT(('Workout Log'!$A$4:$A$500&gt;0)*('Workout Log'!$A$4:$A$500&lt;&gt;"")*(IFERROR(VLOOKUP('Workout Log'!I$4:I$500,'Exercise Library'!$B$4:$C$200,2,FALSE()),"")=A19))+SUMPRODUCT(('Workout Log'!$A$4:$A$500&gt;0)*('Workout Log'!$A$4:$A$500&lt;&gt;"")*(IFERROR(VLOOKUP('Workout Log'!I$4:I$500,'Exercise Library'!$B$4:$D$200,3,FALSE()),"")=A19))+SUMPRODUCT(('Workout Log'!$A$4:$A$500&gt;0)*('Workout Log'!$A$4:$A$500&lt;&gt;"")*(IFERROR(VLOOKUP('Workout Log'!J$4:J$500,'Exercise Library'!$B$4:$C$200,2,FALSE()),"")=A19))+SUMPRODUCT(('Workout Log'!$A$4:$A$500&gt;0)*('Workout Log'!$A$4:$A$500&lt;&gt;"")*(IFERROR(VLOOKUP('Workout Log'!J$4:J$500,'Exercise Library'!$B$4:$D$200,3,FALSE()),"")=A19))+SUMPRODUCT(('Workout Log'!$A$4:$A$500&gt;0)*('Workout Log'!$A$4:$A$500&lt;&gt;"")*(IFERROR(VLOOKUP('Workout Log'!K$4:K$500,'Exercise Library'!$B$4:$C$200,2,FALSE()),"")=A19))+SUMPRODUCT(('Workout Log'!$A$4:$A$500&gt;0)*('Workout Log'!$A$4:$A$500&lt;&gt;"")*(IFERROR(VLOOKUP('Workout Log'!K$4:K$500,'Exercise Library'!$B$4:$D$200,3,FALSE()),"")=A19))+SUMPRODUCT(('Workout Log'!$A$4:$A$500&gt;0)*('Workout Log'!$A$4:$A$500&lt;&gt;"")*(IFERROR(VLOOKUP('Workout Log'!L$4:L$500,'Exercise Library'!$B$4:$C$200,2,FALSE()),"")=A19))+SUMPRODUCT(('Workout Log'!$A$4:$A$500&gt;0)*('Workout Log'!$A$4:$A$500&lt;&gt;"")*(IFERROR(VLOOKUP('Workout Log'!L$4:L$500,'Exercise Library'!$B$4:$D$200,3,FALSE()),"")=A19))+SUMPRODUCT(('Workout Log'!$A$4:$A$500&gt;0)*('Workout Log'!$A$4:$A$500&lt;&gt;"")*(IFERROR(VLOOKUP('Workout Log'!M$4:M$500,'Exercise Library'!$B$4:$C$200,2,FALSE()),"")=A19))+SUMPRODUCT(('Workout Log'!$A$4:$A$500&gt;0)*('Workout Log'!$A$4:$A$500&lt;&gt;"")*(IFERROR(VLOOKUP('Workout Log'!M$4:M$500,'Exercise Library'!$B$4:$D$200,3,FALSE()),"")=A19))</f>
        <v>0</v>
      </c>
      <c r="F19" s="14" t="str">
        <f aca="true">IF(E19=0,"Never",IFERROR(TODAY()-MAX(B19*0+TODAY()-7),"N/A"))</f>
        <v>Never</v>
      </c>
      <c r="G19" s="24" t="n">
        <v>2</v>
      </c>
      <c r="H19" s="14" t="n">
        <f aca="false">MAX(0, G19-B19)</f>
        <v>2</v>
      </c>
    </row>
    <row r="20" customFormat="false" ht="15" hidden="false" customHeight="false" outlineLevel="0" collapsed="false">
      <c r="A20" s="16" t="s">
        <v>217</v>
      </c>
      <c r="B20" s="16" t="n">
        <f aca="true">SUMPRODUCT(('Workout Log'!$A$4:$A$500&gt;=TODAY()-7)*('Workout Log'!$A$4:$A$500&lt;&gt;"")*(IFERROR(VLOOKUP('Workout Log'!F$4:F$500,'Exercise Library'!$B$4:$C$200,2,FALSE()),"")=A20))+SUMPRODUCT(('Workout Log'!$A$4:$A$500&gt;=TODAY()-7)*('Workout Log'!$A$4:$A$500&lt;&gt;"")*(IFERROR(VLOOKUP('Workout Log'!F$4:F$500,'Exercise Library'!$B$4:$D$200,3,FALSE()),"")=A20))+SUMPRODUCT(('Workout Log'!$A$4:$A$500&gt;=TODAY()-7)*('Workout Log'!$A$4:$A$500&lt;&gt;"")*(IFERROR(VLOOKUP('Workout Log'!G$4:G$500,'Exercise Library'!$B$4:$C$200,2,FALSE()),"")=A20))+SUMPRODUCT(('Workout Log'!$A$4:$A$500&gt;=TODAY()-7)*('Workout Log'!$A$4:$A$500&lt;&gt;"")*(IFERROR(VLOOKUP('Workout Log'!G$4:G$500,'Exercise Library'!$B$4:$D$200,3,FALSE()),"")=A20))+SUMPRODUCT(('Workout Log'!$A$4:$A$500&gt;=TODAY()-7)*('Workout Log'!$A$4:$A$500&lt;&gt;"")*(IFERROR(VLOOKUP('Workout Log'!H$4:H$500,'Exercise Library'!$B$4:$C$200,2,FALSE()),"")=A20))+SUMPRODUCT(('Workout Log'!$A$4:$A$500&gt;=TODAY()-7)*('Workout Log'!$A$4:$A$500&lt;&gt;"")*(IFERROR(VLOOKUP('Workout Log'!H$4:H$500,'Exercise Library'!$B$4:$D$200,3,FALSE()),"")=A20))+SUMPRODUCT(('Workout Log'!$A$4:$A$500&gt;=TODAY()-7)*('Workout Log'!$A$4:$A$500&lt;&gt;"")*(IFERROR(VLOOKUP('Workout Log'!I$4:I$500,'Exercise Library'!$B$4:$C$200,2,FALSE()),"")=A20))+SUMPRODUCT(('Workout Log'!$A$4:$A$500&gt;=TODAY()-7)*('Workout Log'!$A$4:$A$500&lt;&gt;"")*(IFERROR(VLOOKUP('Workout Log'!I$4:I$500,'Exercise Library'!$B$4:$D$200,3,FALSE()),"")=A20))+SUMPRODUCT(('Workout Log'!$A$4:$A$500&gt;=TODAY()-7)*('Workout Log'!$A$4:$A$500&lt;&gt;"")*(IFERROR(VLOOKUP('Workout Log'!J$4:J$500,'Exercise Library'!$B$4:$C$200,2,FALSE()),"")=A20))+SUMPRODUCT(('Workout Log'!$A$4:$A$500&gt;=TODAY()-7)*('Workout Log'!$A$4:$A$500&lt;&gt;"")*(IFERROR(VLOOKUP('Workout Log'!J$4:J$500,'Exercise Library'!$B$4:$D$200,3,FALSE()),"")=A20))+SUMPRODUCT(('Workout Log'!$A$4:$A$500&gt;=TODAY()-7)*('Workout Log'!$A$4:$A$500&lt;&gt;"")*(IFERROR(VLOOKUP('Workout Log'!K$4:K$500,'Exercise Library'!$B$4:$C$200,2,FALSE()),"")=A20))+SUMPRODUCT(('Workout Log'!$A$4:$A$500&gt;=TODAY()-7)*('Workout Log'!$A$4:$A$500&lt;&gt;"")*(IFERROR(VLOOKUP('Workout Log'!K$4:K$500,'Exercise Library'!$B$4:$D$200,3,FALSE()),"")=A20))+SUMPRODUCT(('Workout Log'!$A$4:$A$500&gt;=TODAY()-7)*('Workout Log'!$A$4:$A$500&lt;&gt;"")*(IFERROR(VLOOKUP('Workout Log'!L$4:L$500,'Exercise Library'!$B$4:$C$200,2,FALSE()),"")=A20))+SUMPRODUCT(('Workout Log'!$A$4:$A$500&gt;=TODAY()-7)*('Workout Log'!$A$4:$A$500&lt;&gt;"")*(IFERROR(VLOOKUP('Workout Log'!L$4:L$500,'Exercise Library'!$B$4:$D$200,3,FALSE()),"")=A20))+SUMPRODUCT(('Workout Log'!$A$4:$A$500&gt;=TODAY()-7)*('Workout Log'!$A$4:$A$500&lt;&gt;"")*(IFERROR(VLOOKUP('Workout Log'!M$4:M$500,'Exercise Library'!$B$4:$C$200,2,FALSE()),"")=A20))+SUMPRODUCT(('Workout Log'!$A$4:$A$500&gt;=TODAY()-7)*('Workout Log'!$A$4:$A$500&lt;&gt;"")*(IFERROR(VLOOKUP('Workout Log'!M$4:M$500,'Exercise Library'!$B$4:$D$200,3,FALSE()),"")=A20))</f>
        <v>0</v>
      </c>
      <c r="C20" s="16" t="n">
        <f aca="true">SUMPRODUCT(('Workout Log'!$A$4:$A$500&gt;=TODAY()-14)*('Workout Log'!$A$4:$A$500&lt;&gt;"")*(IFERROR(VLOOKUP('Workout Log'!F$4:F$500,'Exercise Library'!$B$4:$C$200,2,FALSE()),"")=A20))+SUMPRODUCT(('Workout Log'!$A$4:$A$500&gt;=TODAY()-14)*('Workout Log'!$A$4:$A$500&lt;&gt;"")*(IFERROR(VLOOKUP('Workout Log'!F$4:F$500,'Exercise Library'!$B$4:$D$200,3,FALSE()),"")=A20))+SUMPRODUCT(('Workout Log'!$A$4:$A$500&gt;=TODAY()-14)*('Workout Log'!$A$4:$A$500&lt;&gt;"")*(IFERROR(VLOOKUP('Workout Log'!G$4:G$500,'Exercise Library'!$B$4:$C$200,2,FALSE()),"")=A20))+SUMPRODUCT(('Workout Log'!$A$4:$A$500&gt;=TODAY()-14)*('Workout Log'!$A$4:$A$500&lt;&gt;"")*(IFERROR(VLOOKUP('Workout Log'!G$4:G$500,'Exercise Library'!$B$4:$D$200,3,FALSE()),"")=A20))+SUMPRODUCT(('Workout Log'!$A$4:$A$500&gt;=TODAY()-14)*('Workout Log'!$A$4:$A$500&lt;&gt;"")*(IFERROR(VLOOKUP('Workout Log'!H$4:H$500,'Exercise Library'!$B$4:$C$200,2,FALSE()),"")=A20))+SUMPRODUCT(('Workout Log'!$A$4:$A$500&gt;=TODAY()-14)*('Workout Log'!$A$4:$A$500&lt;&gt;"")*(IFERROR(VLOOKUP('Workout Log'!H$4:H$500,'Exercise Library'!$B$4:$D$200,3,FALSE()),"")=A20))+SUMPRODUCT(('Workout Log'!$A$4:$A$500&gt;=TODAY()-14)*('Workout Log'!$A$4:$A$500&lt;&gt;"")*(IFERROR(VLOOKUP('Workout Log'!I$4:I$500,'Exercise Library'!$B$4:$C$200,2,FALSE()),"")=A20))+SUMPRODUCT(('Workout Log'!$A$4:$A$500&gt;=TODAY()-14)*('Workout Log'!$A$4:$A$500&lt;&gt;"")*(IFERROR(VLOOKUP('Workout Log'!I$4:I$500,'Exercise Library'!$B$4:$D$200,3,FALSE()),"")=A20))+SUMPRODUCT(('Workout Log'!$A$4:$A$500&gt;=TODAY()-14)*('Workout Log'!$A$4:$A$500&lt;&gt;"")*(IFERROR(VLOOKUP('Workout Log'!J$4:J$500,'Exercise Library'!$B$4:$C$200,2,FALSE()),"")=A20))+SUMPRODUCT(('Workout Log'!$A$4:$A$500&gt;=TODAY()-14)*('Workout Log'!$A$4:$A$500&lt;&gt;"")*(IFERROR(VLOOKUP('Workout Log'!J$4:J$500,'Exercise Library'!$B$4:$D$200,3,FALSE()),"")=A20))+SUMPRODUCT(('Workout Log'!$A$4:$A$500&gt;=TODAY()-14)*('Workout Log'!$A$4:$A$500&lt;&gt;"")*(IFERROR(VLOOKUP('Workout Log'!K$4:K$500,'Exercise Library'!$B$4:$C$200,2,FALSE()),"")=A20))+SUMPRODUCT(('Workout Log'!$A$4:$A$500&gt;=TODAY()-14)*('Workout Log'!$A$4:$A$500&lt;&gt;"")*(IFERROR(VLOOKUP('Workout Log'!K$4:K$500,'Exercise Library'!$B$4:$D$200,3,FALSE()),"")=A20))+SUMPRODUCT(('Workout Log'!$A$4:$A$500&gt;=TODAY()-14)*('Workout Log'!$A$4:$A$500&lt;&gt;"")*(IFERROR(VLOOKUP('Workout Log'!L$4:L$500,'Exercise Library'!$B$4:$C$200,2,FALSE()),"")=A20))+SUMPRODUCT(('Workout Log'!$A$4:$A$500&gt;=TODAY()-14)*('Workout Log'!$A$4:$A$500&lt;&gt;"")*(IFERROR(VLOOKUP('Workout Log'!L$4:L$500,'Exercise Library'!$B$4:$D$200,3,FALSE()),"")=A20))+SUMPRODUCT(('Workout Log'!$A$4:$A$500&gt;=TODAY()-14)*('Workout Log'!$A$4:$A$500&lt;&gt;"")*(IFERROR(VLOOKUP('Workout Log'!M$4:M$500,'Exercise Library'!$B$4:$C$200,2,FALSE()),"")=A20))+SUMPRODUCT(('Workout Log'!$A$4:$A$500&gt;=TODAY()-14)*('Workout Log'!$A$4:$A$500&lt;&gt;"")*(IFERROR(VLOOKUP('Workout Log'!M$4:M$500,'Exercise Library'!$B$4:$D$200,3,FALSE()),"")=A20))</f>
        <v>0</v>
      </c>
      <c r="D20" s="16" t="n">
        <f aca="true">SUMPRODUCT(('Workout Log'!$A$4:$A$500&gt;=TODAY()-30)*('Workout Log'!$A$4:$A$500&lt;&gt;"")*(IFERROR(VLOOKUP('Workout Log'!F$4:F$500,'Exercise Library'!$B$4:$C$200,2,FALSE()),"")=A20))+SUMPRODUCT(('Workout Log'!$A$4:$A$500&gt;=TODAY()-30)*('Workout Log'!$A$4:$A$500&lt;&gt;"")*(IFERROR(VLOOKUP('Workout Log'!F$4:F$500,'Exercise Library'!$B$4:$D$200,3,FALSE()),"")=A20))+SUMPRODUCT(('Workout Log'!$A$4:$A$500&gt;=TODAY()-30)*('Workout Log'!$A$4:$A$500&lt;&gt;"")*(IFERROR(VLOOKUP('Workout Log'!G$4:G$500,'Exercise Library'!$B$4:$C$200,2,FALSE()),"")=A20))+SUMPRODUCT(('Workout Log'!$A$4:$A$500&gt;=TODAY()-30)*('Workout Log'!$A$4:$A$500&lt;&gt;"")*(IFERROR(VLOOKUP('Workout Log'!G$4:G$500,'Exercise Library'!$B$4:$D$200,3,FALSE()),"")=A20))+SUMPRODUCT(('Workout Log'!$A$4:$A$500&gt;=TODAY()-30)*('Workout Log'!$A$4:$A$500&lt;&gt;"")*(IFERROR(VLOOKUP('Workout Log'!H$4:H$500,'Exercise Library'!$B$4:$C$200,2,FALSE()),"")=A20))+SUMPRODUCT(('Workout Log'!$A$4:$A$500&gt;=TODAY()-30)*('Workout Log'!$A$4:$A$500&lt;&gt;"")*(IFERROR(VLOOKUP('Workout Log'!H$4:H$500,'Exercise Library'!$B$4:$D$200,3,FALSE()),"")=A20))+SUMPRODUCT(('Workout Log'!$A$4:$A$500&gt;=TODAY()-30)*('Workout Log'!$A$4:$A$500&lt;&gt;"")*(IFERROR(VLOOKUP('Workout Log'!I$4:I$500,'Exercise Library'!$B$4:$C$200,2,FALSE()),"")=A20))+SUMPRODUCT(('Workout Log'!$A$4:$A$500&gt;=TODAY()-30)*('Workout Log'!$A$4:$A$500&lt;&gt;"")*(IFERROR(VLOOKUP('Workout Log'!I$4:I$500,'Exercise Library'!$B$4:$D$200,3,FALSE()),"")=A20))+SUMPRODUCT(('Workout Log'!$A$4:$A$500&gt;=TODAY()-30)*('Workout Log'!$A$4:$A$500&lt;&gt;"")*(IFERROR(VLOOKUP('Workout Log'!J$4:J$500,'Exercise Library'!$B$4:$C$200,2,FALSE()),"")=A20))+SUMPRODUCT(('Workout Log'!$A$4:$A$500&gt;=TODAY()-30)*('Workout Log'!$A$4:$A$500&lt;&gt;"")*(IFERROR(VLOOKUP('Workout Log'!J$4:J$500,'Exercise Library'!$B$4:$D$200,3,FALSE()),"")=A20))+SUMPRODUCT(('Workout Log'!$A$4:$A$500&gt;=TODAY()-30)*('Workout Log'!$A$4:$A$500&lt;&gt;"")*(IFERROR(VLOOKUP('Workout Log'!K$4:K$500,'Exercise Library'!$B$4:$C$200,2,FALSE()),"")=A20))+SUMPRODUCT(('Workout Log'!$A$4:$A$500&gt;=TODAY()-30)*('Workout Log'!$A$4:$A$500&lt;&gt;"")*(IFERROR(VLOOKUP('Workout Log'!K$4:K$500,'Exercise Library'!$B$4:$D$200,3,FALSE()),"")=A20))+SUMPRODUCT(('Workout Log'!$A$4:$A$500&gt;=TODAY()-30)*('Workout Log'!$A$4:$A$500&lt;&gt;"")*(IFERROR(VLOOKUP('Workout Log'!L$4:L$500,'Exercise Library'!$B$4:$C$200,2,FALSE()),"")=A20))+SUMPRODUCT(('Workout Log'!$A$4:$A$500&gt;=TODAY()-30)*('Workout Log'!$A$4:$A$500&lt;&gt;"")*(IFERROR(VLOOKUP('Workout Log'!L$4:L$500,'Exercise Library'!$B$4:$D$200,3,FALSE()),"")=A20))+SUMPRODUCT(('Workout Log'!$A$4:$A$500&gt;=TODAY()-30)*('Workout Log'!$A$4:$A$500&lt;&gt;"")*(IFERROR(VLOOKUP('Workout Log'!M$4:M$500,'Exercise Library'!$B$4:$C$200,2,FALSE()),"")=A20))+SUMPRODUCT(('Workout Log'!$A$4:$A$500&gt;=TODAY()-30)*('Workout Log'!$A$4:$A$500&lt;&gt;"")*(IFERROR(VLOOKUP('Workout Log'!M$4:M$500,'Exercise Library'!$B$4:$D$200,3,FALSE()),"")=A20))</f>
        <v>0</v>
      </c>
      <c r="E20" s="16" t="n">
        <f aca="false">SUMPRODUCT(('Workout Log'!$A$4:$A$500&gt;0)*('Workout Log'!$A$4:$A$500&lt;&gt;"")*(IFERROR(VLOOKUP('Workout Log'!F$4:F$500,'Exercise Library'!$B$4:$C$200,2,FALSE()),"")=A20))+SUMPRODUCT(('Workout Log'!$A$4:$A$500&gt;0)*('Workout Log'!$A$4:$A$500&lt;&gt;"")*(IFERROR(VLOOKUP('Workout Log'!F$4:F$500,'Exercise Library'!$B$4:$D$200,3,FALSE()),"")=A20))+SUMPRODUCT(('Workout Log'!$A$4:$A$500&gt;0)*('Workout Log'!$A$4:$A$500&lt;&gt;"")*(IFERROR(VLOOKUP('Workout Log'!G$4:G$500,'Exercise Library'!$B$4:$C$200,2,FALSE()),"")=A20))+SUMPRODUCT(('Workout Log'!$A$4:$A$500&gt;0)*('Workout Log'!$A$4:$A$500&lt;&gt;"")*(IFERROR(VLOOKUP('Workout Log'!G$4:G$500,'Exercise Library'!$B$4:$D$200,3,FALSE()),"")=A20))+SUMPRODUCT(('Workout Log'!$A$4:$A$500&gt;0)*('Workout Log'!$A$4:$A$500&lt;&gt;"")*(IFERROR(VLOOKUP('Workout Log'!H$4:H$500,'Exercise Library'!$B$4:$C$200,2,FALSE()),"")=A20))+SUMPRODUCT(('Workout Log'!$A$4:$A$500&gt;0)*('Workout Log'!$A$4:$A$500&lt;&gt;"")*(IFERROR(VLOOKUP('Workout Log'!H$4:H$500,'Exercise Library'!$B$4:$D$200,3,FALSE()),"")=A20))+SUMPRODUCT(('Workout Log'!$A$4:$A$500&gt;0)*('Workout Log'!$A$4:$A$500&lt;&gt;"")*(IFERROR(VLOOKUP('Workout Log'!I$4:I$500,'Exercise Library'!$B$4:$C$200,2,FALSE()),"")=A20))+SUMPRODUCT(('Workout Log'!$A$4:$A$500&gt;0)*('Workout Log'!$A$4:$A$500&lt;&gt;"")*(IFERROR(VLOOKUP('Workout Log'!I$4:I$500,'Exercise Library'!$B$4:$D$200,3,FALSE()),"")=A20))+SUMPRODUCT(('Workout Log'!$A$4:$A$500&gt;0)*('Workout Log'!$A$4:$A$500&lt;&gt;"")*(IFERROR(VLOOKUP('Workout Log'!J$4:J$500,'Exercise Library'!$B$4:$C$200,2,FALSE()),"")=A20))+SUMPRODUCT(('Workout Log'!$A$4:$A$500&gt;0)*('Workout Log'!$A$4:$A$500&lt;&gt;"")*(IFERROR(VLOOKUP('Workout Log'!J$4:J$500,'Exercise Library'!$B$4:$D$200,3,FALSE()),"")=A20))+SUMPRODUCT(('Workout Log'!$A$4:$A$500&gt;0)*('Workout Log'!$A$4:$A$500&lt;&gt;"")*(IFERROR(VLOOKUP('Workout Log'!K$4:K$500,'Exercise Library'!$B$4:$C$200,2,FALSE()),"")=A20))+SUMPRODUCT(('Workout Log'!$A$4:$A$500&gt;0)*('Workout Log'!$A$4:$A$500&lt;&gt;"")*(IFERROR(VLOOKUP('Workout Log'!K$4:K$500,'Exercise Library'!$B$4:$D$200,3,FALSE()),"")=A20))+SUMPRODUCT(('Workout Log'!$A$4:$A$500&gt;0)*('Workout Log'!$A$4:$A$500&lt;&gt;"")*(IFERROR(VLOOKUP('Workout Log'!L$4:L$500,'Exercise Library'!$B$4:$C$200,2,FALSE()),"")=A20))+SUMPRODUCT(('Workout Log'!$A$4:$A$500&gt;0)*('Workout Log'!$A$4:$A$500&lt;&gt;"")*(IFERROR(VLOOKUP('Workout Log'!L$4:L$500,'Exercise Library'!$B$4:$D$200,3,FALSE()),"")=A20))+SUMPRODUCT(('Workout Log'!$A$4:$A$500&gt;0)*('Workout Log'!$A$4:$A$500&lt;&gt;"")*(IFERROR(VLOOKUP('Workout Log'!M$4:M$500,'Exercise Library'!$B$4:$C$200,2,FALSE()),"")=A20))+SUMPRODUCT(('Workout Log'!$A$4:$A$500&gt;0)*('Workout Log'!$A$4:$A$500&lt;&gt;"")*(IFERROR(VLOOKUP('Workout Log'!M$4:M$500,'Exercise Library'!$B$4:$D$200,3,FALSE()),"")=A20))</f>
        <v>0</v>
      </c>
      <c r="F20" s="16" t="str">
        <f aca="true">IF(E20=0,"Never",IFERROR(TODAY()-MAX(B20*0+TODAY()-7),"N/A"))</f>
        <v>Never</v>
      </c>
      <c r="G20" s="24" t="n">
        <v>2</v>
      </c>
      <c r="H20" s="16" t="n">
        <f aca="false">MAX(0, G20-B20)</f>
        <v>2</v>
      </c>
    </row>
  </sheetData>
  <mergeCells count="2">
    <mergeCell ref="A1:H1"/>
    <mergeCell ref="A2:H2"/>
  </mergeCells>
  <conditionalFormatting sqref="H7:H20">
    <cfRule type="cellIs" priority="2" operator="greaterThanOrEqual" aboveAverage="0" equalAverage="0" bottom="0" percent="0" rank="0" text="" dxfId="3">
      <formula>2</formula>
    </cfRule>
    <cfRule type="cellIs" priority="3" operator="between" aboveAverage="0" equalAverage="0" bottom="0" percent="0" rank="0" text="" dxfId="4">
      <formula>1</formula>
      <formula>1.99</formula>
    </cfRule>
    <cfRule type="cellIs" priority="4" operator="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25" t="s">
        <v>218</v>
      </c>
      <c r="B1" s="25"/>
      <c r="C1" s="25"/>
      <c r="D1" s="25"/>
      <c r="E1" s="25"/>
      <c r="F1" s="25"/>
      <c r="G1" s="25"/>
      <c r="H1" s="25"/>
    </row>
    <row r="2" customFormat="false" ht="15" hidden="false" customHeight="false" outlineLevel="0" collapsed="false">
      <c r="A2" s="2" t="s">
        <v>219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220</v>
      </c>
      <c r="B4" s="4"/>
      <c r="C4" s="4"/>
    </row>
    <row r="5" customFormat="false" ht="26.85" hidden="false" customHeight="false" outlineLevel="0" collapsed="false">
      <c r="A5" s="13" t="s">
        <v>221</v>
      </c>
      <c r="B5" s="13" t="s">
        <v>216</v>
      </c>
      <c r="C5" s="13" t="s">
        <v>222</v>
      </c>
    </row>
    <row r="6" customFormat="false" ht="15" hidden="false" customHeight="false" outlineLevel="0" collapsed="false">
      <c r="A6" s="14" t="str">
        <f aca="false">'Pattern Tracker'!A7</f>
        <v>Squat</v>
      </c>
      <c r="B6" s="14" t="n">
        <f aca="false">'Pattern Tracker'!H7</f>
        <v>2</v>
      </c>
      <c r="C6" s="15" t="n">
        <f aca="false">IF(SUM(B6:B19)=0, 1/14, B6/SUM(B6:B19))</f>
        <v>0.0714285714285714</v>
      </c>
    </row>
    <row r="7" customFormat="false" ht="15" hidden="false" customHeight="false" outlineLevel="0" collapsed="false">
      <c r="A7" s="16" t="str">
        <f aca="false">'Pattern Tracker'!A8</f>
        <v>Hinge</v>
      </c>
      <c r="B7" s="16" t="n">
        <f aca="false">'Pattern Tracker'!H8</f>
        <v>2</v>
      </c>
      <c r="C7" s="17" t="n">
        <f aca="false">IF(SUM(B6:B19)=0, 1/14, B7/SUM(B6:B19))</f>
        <v>0.0714285714285714</v>
      </c>
    </row>
    <row r="8" customFormat="false" ht="15" hidden="false" customHeight="false" outlineLevel="0" collapsed="false">
      <c r="A8" s="14" t="str">
        <f aca="false">'Pattern Tracker'!A9</f>
        <v>Push (Horizontal)</v>
      </c>
      <c r="B8" s="14" t="n">
        <f aca="false">'Pattern Tracker'!H9</f>
        <v>2</v>
      </c>
      <c r="C8" s="15" t="n">
        <f aca="false">IF(SUM(B6:B19)=0, 1/14, B8/SUM(B6:B19))</f>
        <v>0.0714285714285714</v>
      </c>
    </row>
    <row r="9" customFormat="false" ht="15" hidden="false" customHeight="false" outlineLevel="0" collapsed="false">
      <c r="A9" s="16" t="str">
        <f aca="false">'Pattern Tracker'!A10</f>
        <v>Push (Vertical)</v>
      </c>
      <c r="B9" s="16" t="n">
        <f aca="false">'Pattern Tracker'!H10</f>
        <v>2</v>
      </c>
      <c r="C9" s="17" t="n">
        <f aca="false">IF(SUM(B6:B19)=0, 1/14, B9/SUM(B6:B19))</f>
        <v>0.0714285714285714</v>
      </c>
    </row>
    <row r="10" customFormat="false" ht="15" hidden="false" customHeight="false" outlineLevel="0" collapsed="false">
      <c r="A10" s="14" t="str">
        <f aca="false">'Pattern Tracker'!A11</f>
        <v>Pull (Horizontal)</v>
      </c>
      <c r="B10" s="14" t="n">
        <f aca="false">'Pattern Tracker'!H11</f>
        <v>2</v>
      </c>
      <c r="C10" s="15" t="n">
        <f aca="false">IF(SUM(B6:B19)=0, 1/14, B10/SUM(B6:B19))</f>
        <v>0.0714285714285714</v>
      </c>
    </row>
    <row r="11" customFormat="false" ht="15" hidden="false" customHeight="false" outlineLevel="0" collapsed="false">
      <c r="A11" s="16" t="str">
        <f aca="false">'Pattern Tracker'!A12</f>
        <v>Pull (Vertical)</v>
      </c>
      <c r="B11" s="16" t="n">
        <f aca="false">'Pattern Tracker'!H12</f>
        <v>2</v>
      </c>
      <c r="C11" s="17" t="n">
        <f aca="false">IF(SUM(B6:B19)=0, 1/14, B11/SUM(B6:B19))</f>
        <v>0.0714285714285714</v>
      </c>
    </row>
    <row r="12" customFormat="false" ht="15" hidden="false" customHeight="false" outlineLevel="0" collapsed="false">
      <c r="A12" s="14" t="str">
        <f aca="false">'Pattern Tracker'!A13</f>
        <v>Olympic - Snatch</v>
      </c>
      <c r="B12" s="14" t="n">
        <f aca="false">'Pattern Tracker'!H13</f>
        <v>2</v>
      </c>
      <c r="C12" s="15" t="n">
        <f aca="false">IF(SUM(B6:B19)=0, 1/14, B12/SUM(B6:B19))</f>
        <v>0.0714285714285714</v>
      </c>
    </row>
    <row r="13" customFormat="false" ht="15" hidden="false" customHeight="false" outlineLevel="0" collapsed="false">
      <c r="A13" s="16" t="str">
        <f aca="false">'Pattern Tracker'!A14</f>
        <v>Olympic - Clean</v>
      </c>
      <c r="B13" s="16" t="n">
        <f aca="false">'Pattern Tracker'!H14</f>
        <v>2</v>
      </c>
      <c r="C13" s="17" t="n">
        <f aca="false">IF(SUM(B6:B19)=0, 1/14, B13/SUM(B6:B19))</f>
        <v>0.0714285714285714</v>
      </c>
    </row>
    <row r="14" customFormat="false" ht="15" hidden="false" customHeight="false" outlineLevel="0" collapsed="false">
      <c r="A14" s="14" t="str">
        <f aca="false">'Pattern Tracker'!A15</f>
        <v>Olympic - Jerk</v>
      </c>
      <c r="B14" s="14" t="n">
        <f aca="false">'Pattern Tracker'!H15</f>
        <v>2</v>
      </c>
      <c r="C14" s="15" t="n">
        <f aca="false">IF(SUM(B6:B19)=0, 1/14, B14/SUM(B6:B19))</f>
        <v>0.0714285714285714</v>
      </c>
    </row>
    <row r="15" customFormat="false" ht="15" hidden="false" customHeight="false" outlineLevel="0" collapsed="false">
      <c r="A15" s="16" t="str">
        <f aca="false">'Pattern Tracker'!A16</f>
        <v>Monostructural</v>
      </c>
      <c r="B15" s="16" t="n">
        <f aca="false">'Pattern Tracker'!H16</f>
        <v>2</v>
      </c>
      <c r="C15" s="17" t="n">
        <f aca="false">IF(SUM(B6:B19)=0, 1/14, B15/SUM(B6:B19))</f>
        <v>0.0714285714285714</v>
      </c>
    </row>
    <row r="16" customFormat="false" ht="15" hidden="false" customHeight="false" outlineLevel="0" collapsed="false">
      <c r="A16" s="14" t="str">
        <f aca="false">'Pattern Tracker'!A17</f>
        <v>Midline</v>
      </c>
      <c r="B16" s="14" t="n">
        <f aca="false">'Pattern Tracker'!H17</f>
        <v>2</v>
      </c>
      <c r="C16" s="15" t="n">
        <f aca="false">IF(SUM(B6:B19)=0, 1/14, B16/SUM(B6:B19))</f>
        <v>0.0714285714285714</v>
      </c>
    </row>
    <row r="17" customFormat="false" ht="15" hidden="false" customHeight="false" outlineLevel="0" collapsed="false">
      <c r="A17" s="16" t="str">
        <f aca="false">'Pattern Tracker'!A18</f>
        <v>Loaded Carry</v>
      </c>
      <c r="B17" s="16" t="n">
        <f aca="false">'Pattern Tracker'!H18</f>
        <v>2</v>
      </c>
      <c r="C17" s="17" t="n">
        <f aca="false">IF(SUM(B6:B19)=0, 1/14, B17/SUM(B6:B19))</f>
        <v>0.0714285714285714</v>
      </c>
    </row>
    <row r="18" customFormat="false" ht="15" hidden="false" customHeight="false" outlineLevel="0" collapsed="false">
      <c r="A18" s="14" t="str">
        <f aca="false">'Pattern Tracker'!A19</f>
        <v>Plyometric</v>
      </c>
      <c r="B18" s="14" t="n">
        <f aca="false">'Pattern Tracker'!H19</f>
        <v>2</v>
      </c>
      <c r="C18" s="15" t="n">
        <f aca="false">IF(SUM(B6:B19)=0, 1/14, B18/SUM(B6:B19))</f>
        <v>0.0714285714285714</v>
      </c>
    </row>
    <row r="19" customFormat="false" ht="15" hidden="false" customHeight="false" outlineLevel="0" collapsed="false">
      <c r="A19" s="16" t="str">
        <f aca="false">'Pattern Tracker'!A20</f>
        <v>Accessory</v>
      </c>
      <c r="B19" s="16" t="n">
        <f aca="false">'Pattern Tracker'!H20</f>
        <v>2</v>
      </c>
      <c r="C19" s="17" t="n">
        <f aca="false">IF(SUM(B6:B19)=0, 1/14, B19/SUM(B6:B19))</f>
        <v>0.0714285714285714</v>
      </c>
    </row>
    <row r="20" customFormat="false" ht="15" hidden="false" customHeight="false" outlineLevel="0" collapsed="false">
      <c r="A20" s="3" t="s">
        <v>223</v>
      </c>
      <c r="B20" s="26" t="n">
        <f aca="false">SUM(B6:B19)</f>
        <v>28</v>
      </c>
      <c r="C20" s="27" t="n">
        <f aca="false">SUM(C6:C19)</f>
        <v>1</v>
      </c>
    </row>
    <row r="23" customFormat="false" ht="15" hidden="false" customHeight="false" outlineLevel="0" collapsed="false">
      <c r="A23" s="4" t="s">
        <v>224</v>
      </c>
      <c r="B23" s="4"/>
      <c r="C23" s="4"/>
      <c r="D23" s="4"/>
      <c r="E23" s="4"/>
    </row>
    <row r="24" customFormat="false" ht="39.55" hidden="false" customHeight="false" outlineLevel="0" collapsed="false">
      <c r="A24" s="13" t="s">
        <v>16</v>
      </c>
      <c r="B24" s="13" t="s">
        <v>225</v>
      </c>
      <c r="C24" s="13" t="s">
        <v>226</v>
      </c>
      <c r="D24" s="13" t="s">
        <v>17</v>
      </c>
      <c r="E24" s="13" t="s">
        <v>15</v>
      </c>
    </row>
    <row r="25" customFormat="false" ht="15" hidden="false" customHeight="false" outlineLevel="0" collapsed="false">
      <c r="A25" s="14" t="str">
        <f aca="false">IF('Exercise Library'!B4="","", 'Exercise Library'!B4)</f>
        <v>Back Squat</v>
      </c>
      <c r="B25" s="14" t="str">
        <f aca="false">IF(A25="","", 'Exercise Library'!C4)</f>
        <v>Squat</v>
      </c>
      <c r="C25" s="14" t="n">
        <f aca="false">IF(A25="","", 'Exercise Library'!D4)</f>
        <v>0</v>
      </c>
      <c r="D25" s="15" t="n">
        <f aca="false">IF(A25="","",IFERROR(VLOOKUP(B25,$A$6:$C$19,3,FALSE()),0)+0.5*IFERROR(VLOOKUP(C25,$A$6:$C$19,3,FALSE()),0))</f>
        <v>0.0714285714285714</v>
      </c>
      <c r="E25" s="14" t="n">
        <f aca="false">IF(A25="","",RANK(D25,$D$25:$D$84,0))</f>
        <v>36</v>
      </c>
    </row>
    <row r="26" customFormat="false" ht="15" hidden="false" customHeight="false" outlineLevel="0" collapsed="false">
      <c r="A26" s="16" t="str">
        <f aca="false">IF('Exercise Library'!B5="","", 'Exercise Library'!B5)</f>
        <v>Front Squat</v>
      </c>
      <c r="B26" s="16" t="str">
        <f aca="false">IF(A26="","", 'Exercise Library'!C5)</f>
        <v>Squat</v>
      </c>
      <c r="C26" s="16" t="n">
        <f aca="false">IF(A26="","", 'Exercise Library'!D5)</f>
        <v>0</v>
      </c>
      <c r="D26" s="17" t="n">
        <f aca="false">IF(A26="","",IFERROR(VLOOKUP(B26,$A$6:$C$19,3,FALSE()),0)+0.5*IFERROR(VLOOKUP(C26,$A$6:$C$19,3,FALSE()),0))</f>
        <v>0.0714285714285714</v>
      </c>
      <c r="E26" s="16" t="n">
        <f aca="false">IF(A26="","",RANK(D26,$D$25:$D$84,0))</f>
        <v>36</v>
      </c>
    </row>
    <row r="27" customFormat="false" ht="15" hidden="false" customHeight="false" outlineLevel="0" collapsed="false">
      <c r="A27" s="14" t="str">
        <f aca="false">IF('Exercise Library'!B6="","", 'Exercise Library'!B6)</f>
        <v>Overhead Squat</v>
      </c>
      <c r="B27" s="14" t="str">
        <f aca="false">IF(A27="","", 'Exercise Library'!C6)</f>
        <v>Squat</v>
      </c>
      <c r="C27" s="14" t="str">
        <f aca="false">IF(A27="","", 'Exercise Library'!D6)</f>
        <v>Push (Vertical)</v>
      </c>
      <c r="D27" s="15" t="n">
        <f aca="false">IF(A27="","",IFERROR(VLOOKUP(B27,$A$6:$C$19,3,FALSE()),0)+0.5*IFERROR(VLOOKUP(C27,$A$6:$C$19,3,FALSE()),0))</f>
        <v>0.107142857142857</v>
      </c>
      <c r="E27" s="14" t="n">
        <f aca="false">IF(A27="","",RANK(D27,$D$25:$D$84,0))</f>
        <v>1</v>
      </c>
    </row>
    <row r="28" customFormat="false" ht="15" hidden="false" customHeight="false" outlineLevel="0" collapsed="false">
      <c r="A28" s="16" t="str">
        <f aca="false">IF('Exercise Library'!B7="","", 'Exercise Library'!B7)</f>
        <v>Air Squat</v>
      </c>
      <c r="B28" s="16" t="str">
        <f aca="false">IF(A28="","", 'Exercise Library'!C7)</f>
        <v>Squat</v>
      </c>
      <c r="C28" s="16" t="n">
        <f aca="false">IF(A28="","", 'Exercise Library'!D7)</f>
        <v>0</v>
      </c>
      <c r="D28" s="17" t="n">
        <f aca="false">IF(A28="","",IFERROR(VLOOKUP(B28,$A$6:$C$19,3,FALSE()),0)+0.5*IFERROR(VLOOKUP(C28,$A$6:$C$19,3,FALSE()),0))</f>
        <v>0.0714285714285714</v>
      </c>
      <c r="E28" s="16" t="n">
        <f aca="false">IF(A28="","",RANK(D28,$D$25:$D$84,0))</f>
        <v>36</v>
      </c>
    </row>
    <row r="29" customFormat="false" ht="15" hidden="false" customHeight="false" outlineLevel="0" collapsed="false">
      <c r="A29" s="14" t="str">
        <f aca="false">IF('Exercise Library'!B8="","", 'Exercise Library'!B8)</f>
        <v>Pistol Squat</v>
      </c>
      <c r="B29" s="14" t="str">
        <f aca="false">IF(A29="","", 'Exercise Library'!C8)</f>
        <v>Squat</v>
      </c>
      <c r="C29" s="14" t="str">
        <f aca="false">IF(A29="","", 'Exercise Library'!D8)</f>
        <v>Midline</v>
      </c>
      <c r="D29" s="15" t="n">
        <f aca="false">IF(A29="","",IFERROR(VLOOKUP(B29,$A$6:$C$19,3,FALSE()),0)+0.5*IFERROR(VLOOKUP(C29,$A$6:$C$19,3,FALSE()),0))</f>
        <v>0.107142857142857</v>
      </c>
      <c r="E29" s="14" t="n">
        <f aca="false">IF(A29="","",RANK(D29,$D$25:$D$84,0))</f>
        <v>1</v>
      </c>
    </row>
    <row r="30" customFormat="false" ht="15" hidden="false" customHeight="false" outlineLevel="0" collapsed="false">
      <c r="A30" s="16" t="str">
        <f aca="false">IF('Exercise Library'!B9="","", 'Exercise Library'!B9)</f>
        <v>Wall Ball</v>
      </c>
      <c r="B30" s="16" t="str">
        <f aca="false">IF(A30="","", 'Exercise Library'!C9)</f>
        <v>Squat</v>
      </c>
      <c r="C30" s="16" t="str">
        <f aca="false">IF(A30="","", 'Exercise Library'!D9)</f>
        <v>Push (Vertical)</v>
      </c>
      <c r="D30" s="17" t="n">
        <f aca="false">IF(A30="","",IFERROR(VLOOKUP(B30,$A$6:$C$19,3,FALSE()),0)+0.5*IFERROR(VLOOKUP(C30,$A$6:$C$19,3,FALSE()),0))</f>
        <v>0.107142857142857</v>
      </c>
      <c r="E30" s="16" t="n">
        <f aca="false">IF(A30="","",RANK(D30,$D$25:$D$84,0))</f>
        <v>1</v>
      </c>
    </row>
    <row r="31" customFormat="false" ht="15" hidden="false" customHeight="false" outlineLevel="0" collapsed="false">
      <c r="A31" s="14" t="str">
        <f aca="false">IF('Exercise Library'!B10="","", 'Exercise Library'!B10)</f>
        <v>Thruster</v>
      </c>
      <c r="B31" s="14" t="str">
        <f aca="false">IF(A31="","", 'Exercise Library'!C10)</f>
        <v>Squat</v>
      </c>
      <c r="C31" s="14" t="str">
        <f aca="false">IF(A31="","", 'Exercise Library'!D10)</f>
        <v>Push (Vertical)</v>
      </c>
      <c r="D31" s="15" t="n">
        <f aca="false">IF(A31="","",IFERROR(VLOOKUP(B31,$A$6:$C$19,3,FALSE()),0)+0.5*IFERROR(VLOOKUP(C31,$A$6:$C$19,3,FALSE()),0))</f>
        <v>0.107142857142857</v>
      </c>
      <c r="E31" s="14" t="n">
        <f aca="false">IF(A31="","",RANK(D31,$D$25:$D$84,0))</f>
        <v>1</v>
      </c>
    </row>
    <row r="32" customFormat="false" ht="15" hidden="false" customHeight="false" outlineLevel="0" collapsed="false">
      <c r="A32" s="16" t="str">
        <f aca="false">IF('Exercise Library'!B11="","", 'Exercise Library'!B11)</f>
        <v>Deadlift</v>
      </c>
      <c r="B32" s="16" t="str">
        <f aca="false">IF(A32="","", 'Exercise Library'!C11)</f>
        <v>Hinge</v>
      </c>
      <c r="C32" s="16" t="n">
        <f aca="false">IF(A32="","", 'Exercise Library'!D11)</f>
        <v>0</v>
      </c>
      <c r="D32" s="17" t="n">
        <f aca="false">IF(A32="","",IFERROR(VLOOKUP(B32,$A$6:$C$19,3,FALSE()),0)+0.5*IFERROR(VLOOKUP(C32,$A$6:$C$19,3,FALSE()),0))</f>
        <v>0.0714285714285714</v>
      </c>
      <c r="E32" s="16" t="n">
        <f aca="false">IF(A32="","",RANK(D32,$D$25:$D$84,0))</f>
        <v>36</v>
      </c>
    </row>
    <row r="33" customFormat="false" ht="15" hidden="false" customHeight="false" outlineLevel="0" collapsed="false">
      <c r="A33" s="14" t="str">
        <f aca="false">IF('Exercise Library'!B12="","", 'Exercise Library'!B12)</f>
        <v>Romanian Deadlift</v>
      </c>
      <c r="B33" s="14" t="str">
        <f aca="false">IF(A33="","", 'Exercise Library'!C12)</f>
        <v>Hinge</v>
      </c>
      <c r="C33" s="14" t="n">
        <f aca="false">IF(A33="","", 'Exercise Library'!D12)</f>
        <v>0</v>
      </c>
      <c r="D33" s="15" t="n">
        <f aca="false">IF(A33="","",IFERROR(VLOOKUP(B33,$A$6:$C$19,3,FALSE()),0)+0.5*IFERROR(VLOOKUP(C33,$A$6:$C$19,3,FALSE()),0))</f>
        <v>0.0714285714285714</v>
      </c>
      <c r="E33" s="14" t="n">
        <f aca="false">IF(A33="","",RANK(D33,$D$25:$D$84,0))</f>
        <v>36</v>
      </c>
    </row>
    <row r="34" customFormat="false" ht="15" hidden="false" customHeight="false" outlineLevel="0" collapsed="false">
      <c r="A34" s="16" t="str">
        <f aca="false">IF('Exercise Library'!B13="","", 'Exercise Library'!B13)</f>
        <v>Kettlebell Swing</v>
      </c>
      <c r="B34" s="16" t="str">
        <f aca="false">IF(A34="","", 'Exercise Library'!C13)</f>
        <v>Hinge</v>
      </c>
      <c r="C34" s="16" t="str">
        <f aca="false">IF(A34="","", 'Exercise Library'!D13)</f>
        <v>Midline</v>
      </c>
      <c r="D34" s="17" t="n">
        <f aca="false">IF(A34="","",IFERROR(VLOOKUP(B34,$A$6:$C$19,3,FALSE()),0)+0.5*IFERROR(VLOOKUP(C34,$A$6:$C$19,3,FALSE()),0))</f>
        <v>0.107142857142857</v>
      </c>
      <c r="E34" s="16" t="n">
        <f aca="false">IF(A34="","",RANK(D34,$D$25:$D$84,0))</f>
        <v>1</v>
      </c>
    </row>
    <row r="35" customFormat="false" ht="15" hidden="false" customHeight="false" outlineLevel="0" collapsed="false">
      <c r="A35" s="14" t="str">
        <f aca="false">IF('Exercise Library'!B14="","", 'Exercise Library'!B14)</f>
        <v>GHD Hip Extension</v>
      </c>
      <c r="B35" s="14" t="str">
        <f aca="false">IF(A35="","", 'Exercise Library'!C14)</f>
        <v>Hinge</v>
      </c>
      <c r="C35" s="14" t="str">
        <f aca="false">IF(A35="","", 'Exercise Library'!D14)</f>
        <v>Midline</v>
      </c>
      <c r="D35" s="15" t="n">
        <f aca="false">IF(A35="","",IFERROR(VLOOKUP(B35,$A$6:$C$19,3,FALSE()),0)+0.5*IFERROR(VLOOKUP(C35,$A$6:$C$19,3,FALSE()),0))</f>
        <v>0.107142857142857</v>
      </c>
      <c r="E35" s="14" t="n">
        <f aca="false">IF(A35="","",RANK(D35,$D$25:$D$84,0))</f>
        <v>1</v>
      </c>
    </row>
    <row r="36" customFormat="false" ht="15" hidden="false" customHeight="false" outlineLevel="0" collapsed="false">
      <c r="A36" s="16" t="str">
        <f aca="false">IF('Exercise Library'!B15="","", 'Exercise Library'!B15)</f>
        <v>Single-Leg RDL</v>
      </c>
      <c r="B36" s="16" t="str">
        <f aca="false">IF(A36="","", 'Exercise Library'!C15)</f>
        <v>Hinge</v>
      </c>
      <c r="C36" s="16" t="n">
        <f aca="false">IF(A36="","", 'Exercise Library'!D15)</f>
        <v>0</v>
      </c>
      <c r="D36" s="17" t="n">
        <f aca="false">IF(A36="","",IFERROR(VLOOKUP(B36,$A$6:$C$19,3,FALSE()),0)+0.5*IFERROR(VLOOKUP(C36,$A$6:$C$19,3,FALSE()),0))</f>
        <v>0.0714285714285714</v>
      </c>
      <c r="E36" s="16" t="n">
        <f aca="false">IF(A36="","",RANK(D36,$D$25:$D$84,0))</f>
        <v>36</v>
      </c>
    </row>
    <row r="37" customFormat="false" ht="15" hidden="false" customHeight="false" outlineLevel="0" collapsed="false">
      <c r="A37" s="14" t="str">
        <f aca="false">IF('Exercise Library'!B16="","", 'Exercise Library'!B16)</f>
        <v>Strict Press</v>
      </c>
      <c r="B37" s="14" t="str">
        <f aca="false">IF(A37="","", 'Exercise Library'!C16)</f>
        <v>Push (Vertical)</v>
      </c>
      <c r="C37" s="14" t="n">
        <f aca="false">IF(A37="","", 'Exercise Library'!D16)</f>
        <v>0</v>
      </c>
      <c r="D37" s="15" t="n">
        <f aca="false">IF(A37="","",IFERROR(VLOOKUP(B37,$A$6:$C$19,3,FALSE()),0)+0.5*IFERROR(VLOOKUP(C37,$A$6:$C$19,3,FALSE()),0))</f>
        <v>0.0714285714285714</v>
      </c>
      <c r="E37" s="14" t="n">
        <f aca="false">IF(A37="","",RANK(D37,$D$25:$D$84,0))</f>
        <v>36</v>
      </c>
    </row>
    <row r="38" customFormat="false" ht="15" hidden="false" customHeight="false" outlineLevel="0" collapsed="false">
      <c r="A38" s="16" t="str">
        <f aca="false">IF('Exercise Library'!B17="","", 'Exercise Library'!B17)</f>
        <v>Push Press</v>
      </c>
      <c r="B38" s="16" t="str">
        <f aca="false">IF(A38="","", 'Exercise Library'!C17)</f>
        <v>Push (Vertical)</v>
      </c>
      <c r="C38" s="16" t="str">
        <f aca="false">IF(A38="","", 'Exercise Library'!D17)</f>
        <v>Squat</v>
      </c>
      <c r="D38" s="17" t="n">
        <f aca="false">IF(A38="","",IFERROR(VLOOKUP(B38,$A$6:$C$19,3,FALSE()),0)+0.5*IFERROR(VLOOKUP(C38,$A$6:$C$19,3,FALSE()),0))</f>
        <v>0.107142857142857</v>
      </c>
      <c r="E38" s="16" t="n">
        <f aca="false">IF(A38="","",RANK(D38,$D$25:$D$84,0))</f>
        <v>1</v>
      </c>
    </row>
    <row r="39" customFormat="false" ht="15" hidden="false" customHeight="false" outlineLevel="0" collapsed="false">
      <c r="A39" s="14" t="str">
        <f aca="false">IF('Exercise Library'!B18="","", 'Exercise Library'!B18)</f>
        <v>Push Jerk</v>
      </c>
      <c r="B39" s="14" t="str">
        <f aca="false">IF(A39="","", 'Exercise Library'!C18)</f>
        <v>Push (Vertical)</v>
      </c>
      <c r="C39" s="14" t="str">
        <f aca="false">IF(A39="","", 'Exercise Library'!D18)</f>
        <v>Squat</v>
      </c>
      <c r="D39" s="15" t="n">
        <f aca="false">IF(A39="","",IFERROR(VLOOKUP(B39,$A$6:$C$19,3,FALSE()),0)+0.5*IFERROR(VLOOKUP(C39,$A$6:$C$19,3,FALSE()),0))</f>
        <v>0.107142857142857</v>
      </c>
      <c r="E39" s="14" t="n">
        <f aca="false">IF(A39="","",RANK(D39,$D$25:$D$84,0))</f>
        <v>1</v>
      </c>
    </row>
    <row r="40" customFormat="false" ht="15" hidden="false" customHeight="false" outlineLevel="0" collapsed="false">
      <c r="A40" s="16" t="str">
        <f aca="false">IF('Exercise Library'!B19="","", 'Exercise Library'!B19)</f>
        <v>Handstand Push-Up</v>
      </c>
      <c r="B40" s="16" t="str">
        <f aca="false">IF(A40="","", 'Exercise Library'!C19)</f>
        <v>Push (Vertical)</v>
      </c>
      <c r="C40" s="16" t="str">
        <f aca="false">IF(A40="","", 'Exercise Library'!D19)</f>
        <v>Midline</v>
      </c>
      <c r="D40" s="17" t="n">
        <f aca="false">IF(A40="","",IFERROR(VLOOKUP(B40,$A$6:$C$19,3,FALSE()),0)+0.5*IFERROR(VLOOKUP(C40,$A$6:$C$19,3,FALSE()),0))</f>
        <v>0.107142857142857</v>
      </c>
      <c r="E40" s="16" t="n">
        <f aca="false">IF(A40="","",RANK(D40,$D$25:$D$84,0))</f>
        <v>1</v>
      </c>
    </row>
    <row r="41" customFormat="false" ht="23.85" hidden="false" customHeight="false" outlineLevel="0" collapsed="false">
      <c r="A41" s="14" t="str">
        <f aca="false">IF('Exercise Library'!B20="","", 'Exercise Library'!B20)</f>
        <v>Bench Press</v>
      </c>
      <c r="B41" s="14" t="str">
        <f aca="false">IF(A41="","", 'Exercise Library'!C20)</f>
        <v>Push (Horizontal)</v>
      </c>
      <c r="C41" s="14" t="n">
        <f aca="false">IF(A41="","", 'Exercise Library'!D20)</f>
        <v>0</v>
      </c>
      <c r="D41" s="15" t="n">
        <f aca="false">IF(A41="","",IFERROR(VLOOKUP(B41,$A$6:$C$19,3,FALSE()),0)+0.5*IFERROR(VLOOKUP(C41,$A$6:$C$19,3,FALSE()),0))</f>
        <v>0.0714285714285714</v>
      </c>
      <c r="E41" s="14" t="n">
        <f aca="false">IF(A41="","",RANK(D41,$D$25:$D$84,0))</f>
        <v>36</v>
      </c>
    </row>
    <row r="42" customFormat="false" ht="23.85" hidden="false" customHeight="false" outlineLevel="0" collapsed="false">
      <c r="A42" s="16" t="str">
        <f aca="false">IF('Exercise Library'!B21="","", 'Exercise Library'!B21)</f>
        <v>Push-Up</v>
      </c>
      <c r="B42" s="16" t="str">
        <f aca="false">IF(A42="","", 'Exercise Library'!C21)</f>
        <v>Push (Horizontal)</v>
      </c>
      <c r="C42" s="16" t="str">
        <f aca="false">IF(A42="","", 'Exercise Library'!D21)</f>
        <v>Midline</v>
      </c>
      <c r="D42" s="17" t="n">
        <f aca="false">IF(A42="","",IFERROR(VLOOKUP(B42,$A$6:$C$19,3,FALSE()),0)+0.5*IFERROR(VLOOKUP(C42,$A$6:$C$19,3,FALSE()),0))</f>
        <v>0.107142857142857</v>
      </c>
      <c r="E42" s="16" t="n">
        <f aca="false">IF(A42="","",RANK(D42,$D$25:$D$84,0))</f>
        <v>1</v>
      </c>
    </row>
    <row r="43" customFormat="false" ht="15" hidden="false" customHeight="false" outlineLevel="0" collapsed="false">
      <c r="A43" s="14" t="str">
        <f aca="false">IF('Exercise Library'!B22="","", 'Exercise Library'!B22)</f>
        <v>Ring Dip</v>
      </c>
      <c r="B43" s="14" t="str">
        <f aca="false">IF(A43="","", 'Exercise Library'!C22)</f>
        <v>Push (Vertical)</v>
      </c>
      <c r="C43" s="14" t="str">
        <f aca="false">IF(A43="","", 'Exercise Library'!D22)</f>
        <v>Midline</v>
      </c>
      <c r="D43" s="15" t="n">
        <f aca="false">IF(A43="","",IFERROR(VLOOKUP(B43,$A$6:$C$19,3,FALSE()),0)+0.5*IFERROR(VLOOKUP(C43,$A$6:$C$19,3,FALSE()),0))</f>
        <v>0.107142857142857</v>
      </c>
      <c r="E43" s="14" t="n">
        <f aca="false">IF(A43="","",RANK(D43,$D$25:$D$84,0))</f>
        <v>1</v>
      </c>
    </row>
    <row r="44" customFormat="false" ht="15" hidden="false" customHeight="false" outlineLevel="0" collapsed="false">
      <c r="A44" s="16" t="str">
        <f aca="false">IF('Exercise Library'!B23="","", 'Exercise Library'!B23)</f>
        <v>Pull-Up</v>
      </c>
      <c r="B44" s="16" t="str">
        <f aca="false">IF(A44="","", 'Exercise Library'!C23)</f>
        <v>Pull (Vertical)</v>
      </c>
      <c r="C44" s="16" t="n">
        <f aca="false">IF(A44="","", 'Exercise Library'!D23)</f>
        <v>0</v>
      </c>
      <c r="D44" s="17" t="n">
        <f aca="false">IF(A44="","",IFERROR(VLOOKUP(B44,$A$6:$C$19,3,FALSE()),0)+0.5*IFERROR(VLOOKUP(C44,$A$6:$C$19,3,FALSE()),0))</f>
        <v>0.0714285714285714</v>
      </c>
      <c r="E44" s="16" t="n">
        <f aca="false">IF(A44="","",RANK(D44,$D$25:$D$84,0))</f>
        <v>36</v>
      </c>
    </row>
    <row r="45" customFormat="false" ht="15" hidden="false" customHeight="false" outlineLevel="0" collapsed="false">
      <c r="A45" s="14" t="str">
        <f aca="false">IF('Exercise Library'!B24="","", 'Exercise Library'!B24)</f>
        <v>Chest-to-Bar Pull-Up</v>
      </c>
      <c r="B45" s="14" t="str">
        <f aca="false">IF(A45="","", 'Exercise Library'!C24)</f>
        <v>Pull (Vertical)</v>
      </c>
      <c r="C45" s="14" t="n">
        <f aca="false">IF(A45="","", 'Exercise Library'!D24)</f>
        <v>0</v>
      </c>
      <c r="D45" s="15" t="n">
        <f aca="false">IF(A45="","",IFERROR(VLOOKUP(B45,$A$6:$C$19,3,FALSE()),0)+0.5*IFERROR(VLOOKUP(C45,$A$6:$C$19,3,FALSE()),0))</f>
        <v>0.0714285714285714</v>
      </c>
      <c r="E45" s="14" t="n">
        <f aca="false">IF(A45="","",RANK(D45,$D$25:$D$84,0))</f>
        <v>36</v>
      </c>
    </row>
    <row r="46" customFormat="false" ht="15" hidden="false" customHeight="false" outlineLevel="0" collapsed="false">
      <c r="A46" s="16" t="str">
        <f aca="false">IF('Exercise Library'!B25="","", 'Exercise Library'!B25)</f>
        <v>Muscle-Up (Bar)</v>
      </c>
      <c r="B46" s="16" t="str">
        <f aca="false">IF(A46="","", 'Exercise Library'!C25)</f>
        <v>Pull (Vertical)</v>
      </c>
      <c r="C46" s="16" t="str">
        <f aca="false">IF(A46="","", 'Exercise Library'!D25)</f>
        <v>Push (Vertical)</v>
      </c>
      <c r="D46" s="17" t="n">
        <f aca="false">IF(A46="","",IFERROR(VLOOKUP(B46,$A$6:$C$19,3,FALSE()),0)+0.5*IFERROR(VLOOKUP(C46,$A$6:$C$19,3,FALSE()),0))</f>
        <v>0.107142857142857</v>
      </c>
      <c r="E46" s="16" t="n">
        <f aca="false">IF(A46="","",RANK(D46,$D$25:$D$84,0))</f>
        <v>1</v>
      </c>
    </row>
    <row r="47" customFormat="false" ht="15" hidden="false" customHeight="false" outlineLevel="0" collapsed="false">
      <c r="A47" s="14" t="str">
        <f aca="false">IF('Exercise Library'!B26="","", 'Exercise Library'!B26)</f>
        <v>Muscle-Up (Ring)</v>
      </c>
      <c r="B47" s="14" t="str">
        <f aca="false">IF(A47="","", 'Exercise Library'!C26)</f>
        <v>Pull (Vertical)</v>
      </c>
      <c r="C47" s="14" t="str">
        <f aca="false">IF(A47="","", 'Exercise Library'!D26)</f>
        <v>Push (Vertical)</v>
      </c>
      <c r="D47" s="15" t="n">
        <f aca="false">IF(A47="","",IFERROR(VLOOKUP(B47,$A$6:$C$19,3,FALSE()),0)+0.5*IFERROR(VLOOKUP(C47,$A$6:$C$19,3,FALSE()),0))</f>
        <v>0.107142857142857</v>
      </c>
      <c r="E47" s="14" t="n">
        <f aca="false">IF(A47="","",RANK(D47,$D$25:$D$84,0))</f>
        <v>1</v>
      </c>
    </row>
    <row r="48" customFormat="false" ht="15" hidden="false" customHeight="false" outlineLevel="0" collapsed="false">
      <c r="A48" s="16" t="str">
        <f aca="false">IF('Exercise Library'!B27="","", 'Exercise Library'!B27)</f>
        <v>Toes-to-Bar</v>
      </c>
      <c r="B48" s="16" t="str">
        <f aca="false">IF(A48="","", 'Exercise Library'!C27)</f>
        <v>Midline</v>
      </c>
      <c r="C48" s="16" t="str">
        <f aca="false">IF(A48="","", 'Exercise Library'!D27)</f>
        <v>Pull (Vertical)</v>
      </c>
      <c r="D48" s="17" t="n">
        <f aca="false">IF(A48="","",IFERROR(VLOOKUP(B48,$A$6:$C$19,3,FALSE()),0)+0.5*IFERROR(VLOOKUP(C48,$A$6:$C$19,3,FALSE()),0))</f>
        <v>0.107142857142857</v>
      </c>
      <c r="E48" s="16" t="n">
        <f aca="false">IF(A48="","",RANK(D48,$D$25:$D$84,0))</f>
        <v>1</v>
      </c>
    </row>
    <row r="49" customFormat="false" ht="15" hidden="false" customHeight="false" outlineLevel="0" collapsed="false">
      <c r="A49" s="14" t="str">
        <f aca="false">IF('Exercise Library'!B28="","", 'Exercise Library'!B28)</f>
        <v>Barbell Row</v>
      </c>
      <c r="B49" s="14" t="str">
        <f aca="false">IF(A49="","", 'Exercise Library'!C28)</f>
        <v>Pull (Horizontal)</v>
      </c>
      <c r="C49" s="14" t="n">
        <f aca="false">IF(A49="","", 'Exercise Library'!D28)</f>
        <v>0</v>
      </c>
      <c r="D49" s="15" t="n">
        <f aca="false">IF(A49="","",IFERROR(VLOOKUP(B49,$A$6:$C$19,3,FALSE()),0)+0.5*IFERROR(VLOOKUP(C49,$A$6:$C$19,3,FALSE()),0))</f>
        <v>0.0714285714285714</v>
      </c>
      <c r="E49" s="14" t="n">
        <f aca="false">IF(A49="","",RANK(D49,$D$25:$D$84,0))</f>
        <v>36</v>
      </c>
    </row>
    <row r="50" customFormat="false" ht="15" hidden="false" customHeight="false" outlineLevel="0" collapsed="false">
      <c r="A50" s="16" t="str">
        <f aca="false">IF('Exercise Library'!B29="","", 'Exercise Library'!B29)</f>
        <v>Ring Row</v>
      </c>
      <c r="B50" s="16" t="str">
        <f aca="false">IF(A50="","", 'Exercise Library'!C29)</f>
        <v>Pull (Horizontal)</v>
      </c>
      <c r="C50" s="16" t="n">
        <f aca="false">IF(A50="","", 'Exercise Library'!D29)</f>
        <v>0</v>
      </c>
      <c r="D50" s="17" t="n">
        <f aca="false">IF(A50="","",IFERROR(VLOOKUP(B50,$A$6:$C$19,3,FALSE()),0)+0.5*IFERROR(VLOOKUP(C50,$A$6:$C$19,3,FALSE()),0))</f>
        <v>0.0714285714285714</v>
      </c>
      <c r="E50" s="16" t="n">
        <f aca="false">IF(A50="","",RANK(D50,$D$25:$D$84,0))</f>
        <v>36</v>
      </c>
    </row>
    <row r="51" customFormat="false" ht="23.85" hidden="false" customHeight="false" outlineLevel="0" collapsed="false">
      <c r="A51" s="14" t="str">
        <f aca="false">IF('Exercise Library'!B30="","", 'Exercise Library'!B30)</f>
        <v>Snatch</v>
      </c>
      <c r="B51" s="14" t="str">
        <f aca="false">IF(A51="","", 'Exercise Library'!C30)</f>
        <v>Olympic - Snatch</v>
      </c>
      <c r="C51" s="14" t="n">
        <f aca="false">IF(A51="","", 'Exercise Library'!D30)</f>
        <v>0</v>
      </c>
      <c r="D51" s="15" t="n">
        <f aca="false">IF(A51="","",IFERROR(VLOOKUP(B51,$A$6:$C$19,3,FALSE()),0)+0.5*IFERROR(VLOOKUP(C51,$A$6:$C$19,3,FALSE()),0))</f>
        <v>0.0714285714285714</v>
      </c>
      <c r="E51" s="14" t="n">
        <f aca="false">IF(A51="","",RANK(D51,$D$25:$D$84,0))</f>
        <v>36</v>
      </c>
    </row>
    <row r="52" customFormat="false" ht="23.85" hidden="false" customHeight="false" outlineLevel="0" collapsed="false">
      <c r="A52" s="16" t="str">
        <f aca="false">IF('Exercise Library'!B31="","", 'Exercise Library'!B31)</f>
        <v>Power Snatch</v>
      </c>
      <c r="B52" s="16" t="str">
        <f aca="false">IF(A52="","", 'Exercise Library'!C31)</f>
        <v>Olympic - Snatch</v>
      </c>
      <c r="C52" s="16" t="str">
        <f aca="false">IF(A52="","", 'Exercise Library'!D31)</f>
        <v>Hinge</v>
      </c>
      <c r="D52" s="17" t="n">
        <f aca="false">IF(A52="","",IFERROR(VLOOKUP(B52,$A$6:$C$19,3,FALSE()),0)+0.5*IFERROR(VLOOKUP(C52,$A$6:$C$19,3,FALSE()),0))</f>
        <v>0.107142857142857</v>
      </c>
      <c r="E52" s="16" t="n">
        <f aca="false">IF(A52="","",RANK(D52,$D$25:$D$84,0))</f>
        <v>1</v>
      </c>
    </row>
    <row r="53" customFormat="false" ht="23.85" hidden="false" customHeight="false" outlineLevel="0" collapsed="false">
      <c r="A53" s="14" t="str">
        <f aca="false">IF('Exercise Library'!B32="","", 'Exercise Library'!B32)</f>
        <v>Snatch Pull</v>
      </c>
      <c r="B53" s="14" t="str">
        <f aca="false">IF(A53="","", 'Exercise Library'!C32)</f>
        <v>Olympic - Snatch</v>
      </c>
      <c r="C53" s="14" t="str">
        <f aca="false">IF(A53="","", 'Exercise Library'!D32)</f>
        <v>Hinge</v>
      </c>
      <c r="D53" s="15" t="n">
        <f aca="false">IF(A53="","",IFERROR(VLOOKUP(B53,$A$6:$C$19,3,FALSE()),0)+0.5*IFERROR(VLOOKUP(C53,$A$6:$C$19,3,FALSE()),0))</f>
        <v>0.107142857142857</v>
      </c>
      <c r="E53" s="14" t="n">
        <f aca="false">IF(A53="","",RANK(D53,$D$25:$D$84,0))</f>
        <v>1</v>
      </c>
    </row>
    <row r="54" customFormat="false" ht="23.85" hidden="false" customHeight="false" outlineLevel="0" collapsed="false">
      <c r="A54" s="16" t="str">
        <f aca="false">IF('Exercise Library'!B33="","", 'Exercise Library'!B33)</f>
        <v>Hang Snatch</v>
      </c>
      <c r="B54" s="16" t="str">
        <f aca="false">IF(A54="","", 'Exercise Library'!C33)</f>
        <v>Olympic - Snatch</v>
      </c>
      <c r="C54" s="16" t="n">
        <f aca="false">IF(A54="","", 'Exercise Library'!D33)</f>
        <v>0</v>
      </c>
      <c r="D54" s="17" t="n">
        <f aca="false">IF(A54="","",IFERROR(VLOOKUP(B54,$A$6:$C$19,3,FALSE()),0)+0.5*IFERROR(VLOOKUP(C54,$A$6:$C$19,3,FALSE()),0))</f>
        <v>0.0714285714285714</v>
      </c>
      <c r="E54" s="16" t="n">
        <f aca="false">IF(A54="","",RANK(D54,$D$25:$D$84,0))</f>
        <v>36</v>
      </c>
    </row>
    <row r="55" customFormat="false" ht="15" hidden="false" customHeight="false" outlineLevel="0" collapsed="false">
      <c r="A55" s="14" t="str">
        <f aca="false">IF('Exercise Library'!B34="","", 'Exercise Library'!B34)</f>
        <v>Clean</v>
      </c>
      <c r="B55" s="14" t="str">
        <f aca="false">IF(A55="","", 'Exercise Library'!C34)</f>
        <v>Olympic - Clean</v>
      </c>
      <c r="C55" s="14" t="n">
        <f aca="false">IF(A55="","", 'Exercise Library'!D34)</f>
        <v>0</v>
      </c>
      <c r="D55" s="15" t="n">
        <f aca="false">IF(A55="","",IFERROR(VLOOKUP(B55,$A$6:$C$19,3,FALSE()),0)+0.5*IFERROR(VLOOKUP(C55,$A$6:$C$19,3,FALSE()),0))</f>
        <v>0.0714285714285714</v>
      </c>
      <c r="E55" s="14" t="n">
        <f aca="false">IF(A55="","",RANK(D55,$D$25:$D$84,0))</f>
        <v>36</v>
      </c>
    </row>
    <row r="56" customFormat="false" ht="15" hidden="false" customHeight="false" outlineLevel="0" collapsed="false">
      <c r="A56" s="16" t="str">
        <f aca="false">IF('Exercise Library'!B35="","", 'Exercise Library'!B35)</f>
        <v>Power Clean</v>
      </c>
      <c r="B56" s="16" t="str">
        <f aca="false">IF(A56="","", 'Exercise Library'!C35)</f>
        <v>Olympic - Clean</v>
      </c>
      <c r="C56" s="16" t="str">
        <f aca="false">IF(A56="","", 'Exercise Library'!D35)</f>
        <v>Hinge</v>
      </c>
      <c r="D56" s="17" t="n">
        <f aca="false">IF(A56="","",IFERROR(VLOOKUP(B56,$A$6:$C$19,3,FALSE()),0)+0.5*IFERROR(VLOOKUP(C56,$A$6:$C$19,3,FALSE()),0))</f>
        <v>0.107142857142857</v>
      </c>
      <c r="E56" s="16" t="n">
        <f aca="false">IF(A56="","",RANK(D56,$D$25:$D$84,0))</f>
        <v>1</v>
      </c>
    </row>
    <row r="57" customFormat="false" ht="15" hidden="false" customHeight="false" outlineLevel="0" collapsed="false">
      <c r="A57" s="14" t="str">
        <f aca="false">IF('Exercise Library'!B36="","", 'Exercise Library'!B36)</f>
        <v>Hang Clean</v>
      </c>
      <c r="B57" s="14" t="str">
        <f aca="false">IF(A57="","", 'Exercise Library'!C36)</f>
        <v>Olympic - Clean</v>
      </c>
      <c r="C57" s="14" t="n">
        <f aca="false">IF(A57="","", 'Exercise Library'!D36)</f>
        <v>0</v>
      </c>
      <c r="D57" s="15" t="n">
        <f aca="false">IF(A57="","",IFERROR(VLOOKUP(B57,$A$6:$C$19,3,FALSE()),0)+0.5*IFERROR(VLOOKUP(C57,$A$6:$C$19,3,FALSE()),0))</f>
        <v>0.0714285714285714</v>
      </c>
      <c r="E57" s="14" t="n">
        <f aca="false">IF(A57="","",RANK(D57,$D$25:$D$84,0))</f>
        <v>36</v>
      </c>
    </row>
    <row r="58" customFormat="false" ht="15" hidden="false" customHeight="false" outlineLevel="0" collapsed="false">
      <c r="A58" s="16" t="str">
        <f aca="false">IF('Exercise Library'!B37="","", 'Exercise Library'!B37)</f>
        <v>Clean Pull</v>
      </c>
      <c r="B58" s="16" t="str">
        <f aca="false">IF(A58="","", 'Exercise Library'!C37)</f>
        <v>Olympic - Clean</v>
      </c>
      <c r="C58" s="16" t="str">
        <f aca="false">IF(A58="","", 'Exercise Library'!D37)</f>
        <v>Hinge</v>
      </c>
      <c r="D58" s="17" t="n">
        <f aca="false">IF(A58="","",IFERROR(VLOOKUP(B58,$A$6:$C$19,3,FALSE()),0)+0.5*IFERROR(VLOOKUP(C58,$A$6:$C$19,3,FALSE()),0))</f>
        <v>0.107142857142857</v>
      </c>
      <c r="E58" s="16" t="n">
        <f aca="false">IF(A58="","",RANK(D58,$D$25:$D$84,0))</f>
        <v>1</v>
      </c>
    </row>
    <row r="59" customFormat="false" ht="15" hidden="false" customHeight="false" outlineLevel="0" collapsed="false">
      <c r="A59" s="14" t="str">
        <f aca="false">IF('Exercise Library'!B38="","", 'Exercise Library'!B38)</f>
        <v>Split Jerk</v>
      </c>
      <c r="B59" s="14" t="str">
        <f aca="false">IF(A59="","", 'Exercise Library'!C38)</f>
        <v>Olympic - Jerk</v>
      </c>
      <c r="C59" s="14" t="str">
        <f aca="false">IF(A59="","", 'Exercise Library'!D38)</f>
        <v>Push (Vertical)</v>
      </c>
      <c r="D59" s="15" t="n">
        <f aca="false">IF(A59="","",IFERROR(VLOOKUP(B59,$A$6:$C$19,3,FALSE()),0)+0.5*IFERROR(VLOOKUP(C59,$A$6:$C$19,3,FALSE()),0))</f>
        <v>0.107142857142857</v>
      </c>
      <c r="E59" s="14" t="n">
        <f aca="false">IF(A59="","",RANK(D59,$D$25:$D$84,0))</f>
        <v>1</v>
      </c>
    </row>
    <row r="60" customFormat="false" ht="15" hidden="false" customHeight="false" outlineLevel="0" collapsed="false">
      <c r="A60" s="16" t="str">
        <f aca="false">IF('Exercise Library'!B39="","", 'Exercise Library'!B39)</f>
        <v>Clean &amp; Jerk</v>
      </c>
      <c r="B60" s="16" t="str">
        <f aca="false">IF(A60="","", 'Exercise Library'!C39)</f>
        <v>Olympic - Clean</v>
      </c>
      <c r="C60" s="16" t="str">
        <f aca="false">IF(A60="","", 'Exercise Library'!D39)</f>
        <v>Olympic - Jerk</v>
      </c>
      <c r="D60" s="17" t="n">
        <f aca="false">IF(A60="","",IFERROR(VLOOKUP(B60,$A$6:$C$19,3,FALSE()),0)+0.5*IFERROR(VLOOKUP(C60,$A$6:$C$19,3,FALSE()),0))</f>
        <v>0.107142857142857</v>
      </c>
      <c r="E60" s="16" t="n">
        <f aca="false">IF(A60="","",RANK(D60,$D$25:$D$84,0))</f>
        <v>1</v>
      </c>
    </row>
    <row r="61" customFormat="false" ht="15" hidden="false" customHeight="false" outlineLevel="0" collapsed="false">
      <c r="A61" s="14" t="str">
        <f aca="false">IF('Exercise Library'!B40="","", 'Exercise Library'!B40)</f>
        <v>Running</v>
      </c>
      <c r="B61" s="14" t="str">
        <f aca="false">IF(A61="","", 'Exercise Library'!C40)</f>
        <v>Monostructural</v>
      </c>
      <c r="C61" s="14" t="n">
        <f aca="false">IF(A61="","", 'Exercise Library'!D40)</f>
        <v>0</v>
      </c>
      <c r="D61" s="15" t="n">
        <f aca="false">IF(A61="","",IFERROR(VLOOKUP(B61,$A$6:$C$19,3,FALSE()),0)+0.5*IFERROR(VLOOKUP(C61,$A$6:$C$19,3,FALSE()),0))</f>
        <v>0.0714285714285714</v>
      </c>
      <c r="E61" s="14" t="n">
        <f aca="false">IF(A61="","",RANK(D61,$D$25:$D$84,0))</f>
        <v>36</v>
      </c>
    </row>
    <row r="62" customFormat="false" ht="15" hidden="false" customHeight="false" outlineLevel="0" collapsed="false">
      <c r="A62" s="16" t="str">
        <f aca="false">IF('Exercise Library'!B41="","", 'Exercise Library'!B41)</f>
        <v>Rowing</v>
      </c>
      <c r="B62" s="16" t="str">
        <f aca="false">IF(A62="","", 'Exercise Library'!C41)</f>
        <v>Monostructural</v>
      </c>
      <c r="C62" s="16" t="str">
        <f aca="false">IF(A62="","", 'Exercise Library'!D41)</f>
        <v>Pull (Horizontal)</v>
      </c>
      <c r="D62" s="17" t="n">
        <f aca="false">IF(A62="","",IFERROR(VLOOKUP(B62,$A$6:$C$19,3,FALSE()),0)+0.5*IFERROR(VLOOKUP(C62,$A$6:$C$19,3,FALSE()),0))</f>
        <v>0.107142857142857</v>
      </c>
      <c r="E62" s="16" t="n">
        <f aca="false">IF(A62="","",RANK(D62,$D$25:$D$84,0))</f>
        <v>1</v>
      </c>
    </row>
    <row r="63" customFormat="false" ht="15" hidden="false" customHeight="false" outlineLevel="0" collapsed="false">
      <c r="A63" s="14" t="str">
        <f aca="false">IF('Exercise Library'!B42="","", 'Exercise Library'!B42)</f>
        <v>Assault Bike</v>
      </c>
      <c r="B63" s="14" t="str">
        <f aca="false">IF(A63="","", 'Exercise Library'!C42)</f>
        <v>Monostructural</v>
      </c>
      <c r="C63" s="14" t="n">
        <f aca="false">IF(A63="","", 'Exercise Library'!D42)</f>
        <v>0</v>
      </c>
      <c r="D63" s="15" t="n">
        <f aca="false">IF(A63="","",IFERROR(VLOOKUP(B63,$A$6:$C$19,3,FALSE()),0)+0.5*IFERROR(VLOOKUP(C63,$A$6:$C$19,3,FALSE()),0))</f>
        <v>0.0714285714285714</v>
      </c>
      <c r="E63" s="14" t="n">
        <f aca="false">IF(A63="","",RANK(D63,$D$25:$D$84,0))</f>
        <v>36</v>
      </c>
    </row>
    <row r="64" customFormat="false" ht="15" hidden="false" customHeight="false" outlineLevel="0" collapsed="false">
      <c r="A64" s="16" t="str">
        <f aca="false">IF('Exercise Library'!B43="","", 'Exercise Library'!B43)</f>
        <v>Ski Erg</v>
      </c>
      <c r="B64" s="16" t="str">
        <f aca="false">IF(A64="","", 'Exercise Library'!C43)</f>
        <v>Monostructural</v>
      </c>
      <c r="C64" s="16" t="str">
        <f aca="false">IF(A64="","", 'Exercise Library'!D43)</f>
        <v>Pull (Vertical)</v>
      </c>
      <c r="D64" s="17" t="n">
        <f aca="false">IF(A64="","",IFERROR(VLOOKUP(B64,$A$6:$C$19,3,FALSE()),0)+0.5*IFERROR(VLOOKUP(C64,$A$6:$C$19,3,FALSE()),0))</f>
        <v>0.107142857142857</v>
      </c>
      <c r="E64" s="16" t="n">
        <f aca="false">IF(A64="","",RANK(D64,$D$25:$D$84,0))</f>
        <v>1</v>
      </c>
    </row>
    <row r="65" customFormat="false" ht="15" hidden="false" customHeight="false" outlineLevel="0" collapsed="false">
      <c r="A65" s="14" t="str">
        <f aca="false">IF('Exercise Library'!B44="","", 'Exercise Library'!B44)</f>
        <v>Double-Unders</v>
      </c>
      <c r="B65" s="14" t="str">
        <f aca="false">IF(A65="","", 'Exercise Library'!C44)</f>
        <v>Monostructural</v>
      </c>
      <c r="C65" s="14" t="n">
        <f aca="false">IF(A65="","", 'Exercise Library'!D44)</f>
        <v>0</v>
      </c>
      <c r="D65" s="15" t="n">
        <f aca="false">IF(A65="","",IFERROR(VLOOKUP(B65,$A$6:$C$19,3,FALSE()),0)+0.5*IFERROR(VLOOKUP(C65,$A$6:$C$19,3,FALSE()),0))</f>
        <v>0.0714285714285714</v>
      </c>
      <c r="E65" s="14" t="n">
        <f aca="false">IF(A65="","",RANK(D65,$D$25:$D$84,0))</f>
        <v>36</v>
      </c>
    </row>
    <row r="66" customFormat="false" ht="15" hidden="false" customHeight="false" outlineLevel="0" collapsed="false">
      <c r="A66" s="16" t="str">
        <f aca="false">IF('Exercise Library'!B45="","", 'Exercise Library'!B45)</f>
        <v>GHD Sit-Up</v>
      </c>
      <c r="B66" s="16" t="str">
        <f aca="false">IF(A66="","", 'Exercise Library'!C45)</f>
        <v>Midline</v>
      </c>
      <c r="C66" s="16" t="n">
        <f aca="false">IF(A66="","", 'Exercise Library'!D45)</f>
        <v>0</v>
      </c>
      <c r="D66" s="17" t="n">
        <f aca="false">IF(A66="","",IFERROR(VLOOKUP(B66,$A$6:$C$19,3,FALSE()),0)+0.5*IFERROR(VLOOKUP(C66,$A$6:$C$19,3,FALSE()),0))</f>
        <v>0.0714285714285714</v>
      </c>
      <c r="E66" s="16" t="n">
        <f aca="false">IF(A66="","",RANK(D66,$D$25:$D$84,0))</f>
        <v>36</v>
      </c>
    </row>
    <row r="67" customFormat="false" ht="15" hidden="false" customHeight="false" outlineLevel="0" collapsed="false">
      <c r="A67" s="14" t="str">
        <f aca="false">IF('Exercise Library'!B46="","", 'Exercise Library'!B46)</f>
        <v>L-Sit</v>
      </c>
      <c r="B67" s="14" t="str">
        <f aca="false">IF(A67="","", 'Exercise Library'!C46)</f>
        <v>Midline</v>
      </c>
      <c r="C67" s="14" t="n">
        <f aca="false">IF(A67="","", 'Exercise Library'!D46)</f>
        <v>0</v>
      </c>
      <c r="D67" s="15" t="n">
        <f aca="false">IF(A67="","",IFERROR(VLOOKUP(B67,$A$6:$C$19,3,FALSE()),0)+0.5*IFERROR(VLOOKUP(C67,$A$6:$C$19,3,FALSE()),0))</f>
        <v>0.0714285714285714</v>
      </c>
      <c r="E67" s="14" t="n">
        <f aca="false">IF(A67="","",RANK(D67,$D$25:$D$84,0))</f>
        <v>36</v>
      </c>
    </row>
    <row r="68" customFormat="false" ht="15" hidden="false" customHeight="false" outlineLevel="0" collapsed="false">
      <c r="A68" s="16" t="str">
        <f aca="false">IF('Exercise Library'!B47="","", 'Exercise Library'!B47)</f>
        <v>Plank</v>
      </c>
      <c r="B68" s="16" t="str">
        <f aca="false">IF(A68="","", 'Exercise Library'!C47)</f>
        <v>Midline</v>
      </c>
      <c r="C68" s="16" t="n">
        <f aca="false">IF(A68="","", 'Exercise Library'!D47)</f>
        <v>0</v>
      </c>
      <c r="D68" s="17" t="n">
        <f aca="false">IF(A68="","",IFERROR(VLOOKUP(B68,$A$6:$C$19,3,FALSE()),0)+0.5*IFERROR(VLOOKUP(C68,$A$6:$C$19,3,FALSE()),0))</f>
        <v>0.0714285714285714</v>
      </c>
      <c r="E68" s="16" t="n">
        <f aca="false">IF(A68="","",RANK(D68,$D$25:$D$84,0))</f>
        <v>36</v>
      </c>
    </row>
    <row r="69" customFormat="false" ht="15" hidden="false" customHeight="false" outlineLevel="0" collapsed="false">
      <c r="A69" s="14" t="str">
        <f aca="false">IF('Exercise Library'!B48="","", 'Exercise Library'!B48)</f>
        <v>Farmer's Carry</v>
      </c>
      <c r="B69" s="14" t="str">
        <f aca="false">IF(A69="","", 'Exercise Library'!C48)</f>
        <v>Loaded Carry</v>
      </c>
      <c r="C69" s="14" t="str">
        <f aca="false">IF(A69="","", 'Exercise Library'!D48)</f>
        <v>Midline</v>
      </c>
      <c r="D69" s="15" t="n">
        <f aca="false">IF(A69="","",IFERROR(VLOOKUP(B69,$A$6:$C$19,3,FALSE()),0)+0.5*IFERROR(VLOOKUP(C69,$A$6:$C$19,3,FALSE()),0))</f>
        <v>0.107142857142857</v>
      </c>
      <c r="E69" s="14" t="n">
        <f aca="false">IF(A69="","",RANK(D69,$D$25:$D$84,0))</f>
        <v>1</v>
      </c>
    </row>
    <row r="70" customFormat="false" ht="15" hidden="false" customHeight="false" outlineLevel="0" collapsed="false">
      <c r="A70" s="16" t="str">
        <f aca="false">IF('Exercise Library'!B49="","", 'Exercise Library'!B49)</f>
        <v>Overhead Carry</v>
      </c>
      <c r="B70" s="16" t="str">
        <f aca="false">IF(A70="","", 'Exercise Library'!C49)</f>
        <v>Loaded Carry</v>
      </c>
      <c r="C70" s="16" t="str">
        <f aca="false">IF(A70="","", 'Exercise Library'!D49)</f>
        <v>Push (Vertical)</v>
      </c>
      <c r="D70" s="17" t="n">
        <f aca="false">IF(A70="","",IFERROR(VLOOKUP(B70,$A$6:$C$19,3,FALSE()),0)+0.5*IFERROR(VLOOKUP(C70,$A$6:$C$19,3,FALSE()),0))</f>
        <v>0.107142857142857</v>
      </c>
      <c r="E70" s="16" t="n">
        <f aca="false">IF(A70="","",RANK(D70,$D$25:$D$84,0))</f>
        <v>1</v>
      </c>
    </row>
    <row r="71" customFormat="false" ht="15" hidden="false" customHeight="false" outlineLevel="0" collapsed="false">
      <c r="A71" s="14" t="str">
        <f aca="false">IF('Exercise Library'!B50="","", 'Exercise Library'!B50)</f>
        <v>Front Rack Carry</v>
      </c>
      <c r="B71" s="14" t="str">
        <f aca="false">IF(A71="","", 'Exercise Library'!C50)</f>
        <v>Loaded Carry</v>
      </c>
      <c r="C71" s="14" t="str">
        <f aca="false">IF(A71="","", 'Exercise Library'!D50)</f>
        <v>Midline</v>
      </c>
      <c r="D71" s="15" t="n">
        <f aca="false">IF(A71="","",IFERROR(VLOOKUP(B71,$A$6:$C$19,3,FALSE()),0)+0.5*IFERROR(VLOOKUP(C71,$A$6:$C$19,3,FALSE()),0))</f>
        <v>0.107142857142857</v>
      </c>
      <c r="E71" s="14" t="n">
        <f aca="false">IF(A71="","",RANK(D71,$D$25:$D$84,0))</f>
        <v>1</v>
      </c>
    </row>
    <row r="72" customFormat="false" ht="15" hidden="false" customHeight="false" outlineLevel="0" collapsed="false">
      <c r="A72" s="16" t="str">
        <f aca="false">IF('Exercise Library'!B51="","", 'Exercise Library'!B51)</f>
        <v>Sled Push</v>
      </c>
      <c r="B72" s="16" t="str">
        <f aca="false">IF(A72="","", 'Exercise Library'!C51)</f>
        <v>Loaded Carry</v>
      </c>
      <c r="C72" s="16" t="str">
        <f aca="false">IF(A72="","", 'Exercise Library'!D51)</f>
        <v>Squat</v>
      </c>
      <c r="D72" s="17" t="n">
        <f aca="false">IF(A72="","",IFERROR(VLOOKUP(B72,$A$6:$C$19,3,FALSE()),0)+0.5*IFERROR(VLOOKUP(C72,$A$6:$C$19,3,FALSE()),0))</f>
        <v>0.107142857142857</v>
      </c>
      <c r="E72" s="16" t="n">
        <f aca="false">IF(A72="","",RANK(D72,$D$25:$D$84,0))</f>
        <v>1</v>
      </c>
    </row>
    <row r="73" customFormat="false" ht="15" hidden="false" customHeight="false" outlineLevel="0" collapsed="false">
      <c r="A73" s="14" t="str">
        <f aca="false">IF('Exercise Library'!B52="","", 'Exercise Library'!B52)</f>
        <v>Box Jump</v>
      </c>
      <c r="B73" s="14" t="str">
        <f aca="false">IF(A73="","", 'Exercise Library'!C52)</f>
        <v>Plyometric</v>
      </c>
      <c r="C73" s="14" t="str">
        <f aca="false">IF(A73="","", 'Exercise Library'!D52)</f>
        <v>Squat</v>
      </c>
      <c r="D73" s="15" t="n">
        <f aca="false">IF(A73="","",IFERROR(VLOOKUP(B73,$A$6:$C$19,3,FALSE()),0)+0.5*IFERROR(VLOOKUP(C73,$A$6:$C$19,3,FALSE()),0))</f>
        <v>0.107142857142857</v>
      </c>
      <c r="E73" s="14" t="n">
        <f aca="false">IF(A73="","",RANK(D73,$D$25:$D$84,0))</f>
        <v>1</v>
      </c>
    </row>
    <row r="74" customFormat="false" ht="15" hidden="false" customHeight="false" outlineLevel="0" collapsed="false">
      <c r="A74" s="16" t="str">
        <f aca="false">IF('Exercise Library'!B53="","", 'Exercise Library'!B53)</f>
        <v>Rope Climb</v>
      </c>
      <c r="B74" s="16" t="str">
        <f aca="false">IF(A74="","", 'Exercise Library'!C53)</f>
        <v>Pull (Vertical)</v>
      </c>
      <c r="C74" s="16" t="str">
        <f aca="false">IF(A74="","", 'Exercise Library'!D53)</f>
        <v>Midline</v>
      </c>
      <c r="D74" s="17" t="n">
        <f aca="false">IF(A74="","",IFERROR(VLOOKUP(B74,$A$6:$C$19,3,FALSE()),0)+0.5*IFERROR(VLOOKUP(C74,$A$6:$C$19,3,FALSE()),0))</f>
        <v>0.107142857142857</v>
      </c>
      <c r="E74" s="16" t="n">
        <f aca="false">IF(A74="","",RANK(D74,$D$25:$D$84,0))</f>
        <v>1</v>
      </c>
    </row>
    <row r="75" customFormat="false" ht="15" hidden="false" customHeight="false" outlineLevel="0" collapsed="false">
      <c r="A75" s="14" t="str">
        <f aca="false">IF('Exercise Library'!B54="","", 'Exercise Library'!B54)</f>
        <v>Burpee</v>
      </c>
      <c r="B75" s="14" t="str">
        <f aca="false">IF(A75="","", 'Exercise Library'!C54)</f>
        <v>Plyometric</v>
      </c>
      <c r="C75" s="14" t="str">
        <f aca="false">IF(A75="","", 'Exercise Library'!D54)</f>
        <v>Push (Horizontal)</v>
      </c>
      <c r="D75" s="15" t="n">
        <f aca="false">IF(A75="","",IFERROR(VLOOKUP(B75,$A$6:$C$19,3,FALSE()),0)+0.5*IFERROR(VLOOKUP(C75,$A$6:$C$19,3,FALSE()),0))</f>
        <v>0.107142857142857</v>
      </c>
      <c r="E75" s="14" t="n">
        <f aca="false">IF(A75="","",RANK(D75,$D$25:$D$84,0))</f>
        <v>1</v>
      </c>
    </row>
    <row r="76" customFormat="false" ht="23.85" hidden="false" customHeight="false" outlineLevel="0" collapsed="false">
      <c r="A76" s="16" t="str">
        <f aca="false">IF('Exercise Library'!B55="","", 'Exercise Library'!B55)</f>
        <v>DB Snatch</v>
      </c>
      <c r="B76" s="16" t="str">
        <f aca="false">IF(A76="","", 'Exercise Library'!C55)</f>
        <v>Olympic - Snatch</v>
      </c>
      <c r="C76" s="16" t="str">
        <f aca="false">IF(A76="","", 'Exercise Library'!D55)</f>
        <v>Hinge</v>
      </c>
      <c r="D76" s="17" t="n">
        <f aca="false">IF(A76="","",IFERROR(VLOOKUP(B76,$A$6:$C$19,3,FALSE()),0)+0.5*IFERROR(VLOOKUP(C76,$A$6:$C$19,3,FALSE()),0))</f>
        <v>0.107142857142857</v>
      </c>
      <c r="E76" s="16" t="n">
        <f aca="false">IF(A76="","",RANK(D76,$D$25:$D$84,0))</f>
        <v>1</v>
      </c>
    </row>
    <row r="77" customFormat="false" ht="15" hidden="false" customHeight="false" outlineLevel="0" collapsed="false">
      <c r="A77" s="14" t="str">
        <f aca="false">IF('Exercise Library'!B56="","", 'Exercise Library'!B56)</f>
        <v>Turkish Get-Up</v>
      </c>
      <c r="B77" s="14" t="str">
        <f aca="false">IF(A77="","", 'Exercise Library'!C56)</f>
        <v>Midline</v>
      </c>
      <c r="C77" s="14" t="str">
        <f aca="false">IF(A77="","", 'Exercise Library'!D56)</f>
        <v>Loaded Carry</v>
      </c>
      <c r="D77" s="15" t="n">
        <f aca="false">IF(A77="","",IFERROR(VLOOKUP(B77,$A$6:$C$19,3,FALSE()),0)+0.5*IFERROR(VLOOKUP(C77,$A$6:$C$19,3,FALSE()),0))</f>
        <v>0.107142857142857</v>
      </c>
      <c r="E77" s="14" t="n">
        <f aca="false">IF(A77="","",RANK(D77,$D$25:$D$84,0))</f>
        <v>1</v>
      </c>
    </row>
    <row r="78" customFormat="false" ht="15" hidden="false" customHeight="false" outlineLevel="0" collapsed="false">
      <c r="A78" s="16" t="str">
        <f aca="false">IF('Exercise Library'!B57="","", 'Exercise Library'!B57)</f>
        <v>Sandbag Clean</v>
      </c>
      <c r="B78" s="16" t="str">
        <f aca="false">IF(A78="","", 'Exercise Library'!C57)</f>
        <v>Olympic - Clean</v>
      </c>
      <c r="C78" s="16" t="str">
        <f aca="false">IF(A78="","", 'Exercise Library'!D57)</f>
        <v>Hinge</v>
      </c>
      <c r="D78" s="17" t="n">
        <f aca="false">IF(A78="","",IFERROR(VLOOKUP(B78,$A$6:$C$19,3,FALSE()),0)+0.5*IFERROR(VLOOKUP(C78,$A$6:$C$19,3,FALSE()),0))</f>
        <v>0.107142857142857</v>
      </c>
      <c r="E78" s="16" t="n">
        <f aca="false">IF(A78="","",RANK(D78,$D$25:$D$84,0))</f>
        <v>1</v>
      </c>
    </row>
    <row r="79" customFormat="false" ht="15" hidden="false" customHeight="false" outlineLevel="0" collapsed="false">
      <c r="A79" s="14" t="str">
        <f aca="false">IF('Exercise Library'!B58="","", 'Exercise Library'!B58)</f>
        <v>Strict Pull-Up</v>
      </c>
      <c r="B79" s="14" t="str">
        <f aca="false">IF(A79="","", 'Exercise Library'!C58)</f>
        <v>Pull (Vertical)</v>
      </c>
      <c r="C79" s="14" t="n">
        <f aca="false">IF(A79="","", 'Exercise Library'!D58)</f>
        <v>0</v>
      </c>
      <c r="D79" s="15" t="n">
        <f aca="false">IF(A79="","",IFERROR(VLOOKUP(B79,$A$6:$C$19,3,FALSE()),0)+0.5*IFERROR(VLOOKUP(C79,$A$6:$C$19,3,FALSE()),0))</f>
        <v>0.0714285714285714</v>
      </c>
      <c r="E79" s="14" t="n">
        <f aca="false">IF(A79="","",RANK(D79,$D$25:$D$84,0))</f>
        <v>36</v>
      </c>
    </row>
    <row r="80" customFormat="false" ht="15" hidden="false" customHeight="false" outlineLevel="0" collapsed="false">
      <c r="A80" s="16" t="str">
        <f aca="false">IF('Exercise Library'!B59="","", 'Exercise Library'!B59)</f>
        <v>Lunge</v>
      </c>
      <c r="B80" s="16" t="str">
        <f aca="false">IF(A80="","", 'Exercise Library'!C59)</f>
        <v>Squat</v>
      </c>
      <c r="C80" s="16" t="n">
        <f aca="false">IF(A80="","", 'Exercise Library'!D59)</f>
        <v>0</v>
      </c>
      <c r="D80" s="17" t="n">
        <f aca="false">IF(A80="","",IFERROR(VLOOKUP(B80,$A$6:$C$19,3,FALSE()),0)+0.5*IFERROR(VLOOKUP(C80,$A$6:$C$19,3,FALSE()),0))</f>
        <v>0.0714285714285714</v>
      </c>
      <c r="E80" s="16" t="n">
        <f aca="false">IF(A80="","",RANK(D80,$D$25:$D$84,0))</f>
        <v>36</v>
      </c>
    </row>
    <row r="81" customFormat="false" ht="15" hidden="false" customHeight="false" outlineLevel="0" collapsed="false">
      <c r="A81" s="14" t="str">
        <f aca="false">IF('Exercise Library'!B60="","", 'Exercise Library'!B60)</f>
        <v>Walking Lunge (Barbell)</v>
      </c>
      <c r="B81" s="14" t="str">
        <f aca="false">IF(A81="","", 'Exercise Library'!C60)</f>
        <v>Squat</v>
      </c>
      <c r="C81" s="14" t="str">
        <f aca="false">IF(A81="","", 'Exercise Library'!D60)</f>
        <v>Midline</v>
      </c>
      <c r="D81" s="15" t="n">
        <f aca="false">IF(A81="","",IFERROR(VLOOKUP(B81,$A$6:$C$19,3,FALSE()),0)+0.5*IFERROR(VLOOKUP(C81,$A$6:$C$19,3,FALSE()),0))</f>
        <v>0.107142857142857</v>
      </c>
      <c r="E81" s="14" t="n">
        <f aca="false">IF(A81="","",RANK(D81,$D$25:$D$84,0))</f>
        <v>1</v>
      </c>
    </row>
    <row r="82" customFormat="false" ht="15" hidden="false" customHeight="false" outlineLevel="0" collapsed="false">
      <c r="A82" s="16" t="str">
        <f aca="false">IF('Exercise Library'!B61="","", 'Exercise Library'!B61)</f>
        <v>Sumo Deadlift High Pull</v>
      </c>
      <c r="B82" s="16" t="str">
        <f aca="false">IF(A82="","", 'Exercise Library'!C61)</f>
        <v>Hinge</v>
      </c>
      <c r="C82" s="16" t="str">
        <f aca="false">IF(A82="","", 'Exercise Library'!D61)</f>
        <v>Pull (Vertical)</v>
      </c>
      <c r="D82" s="17" t="n">
        <f aca="false">IF(A82="","",IFERROR(VLOOKUP(B82,$A$6:$C$19,3,FALSE()),0)+0.5*IFERROR(VLOOKUP(C82,$A$6:$C$19,3,FALSE()),0))</f>
        <v>0.107142857142857</v>
      </c>
      <c r="E82" s="16" t="n">
        <f aca="false">IF(A82="","",RANK(D82,$D$25:$D$84,0))</f>
        <v>1</v>
      </c>
    </row>
    <row r="83" customFormat="false" ht="15" hidden="false" customHeight="false" outlineLevel="0" collapsed="false">
      <c r="A83" s="14" t="str">
        <f aca="false">IF('Exercise Library'!B62="","", 'Exercise Library'!B62)</f>
        <v>Handstand Walk</v>
      </c>
      <c r="B83" s="14" t="str">
        <f aca="false">IF(A83="","", 'Exercise Library'!C62)</f>
        <v>Push (Vertical)</v>
      </c>
      <c r="C83" s="14" t="str">
        <f aca="false">IF(A83="","", 'Exercise Library'!D62)</f>
        <v>Midline</v>
      </c>
      <c r="D83" s="15" t="n">
        <f aca="false">IF(A83="","",IFERROR(VLOOKUP(B83,$A$6:$C$19,3,FALSE()),0)+0.5*IFERROR(VLOOKUP(C83,$A$6:$C$19,3,FALSE()),0))</f>
        <v>0.107142857142857</v>
      </c>
      <c r="E83" s="14" t="n">
        <f aca="false">IF(A83="","",RANK(D83,$D$25:$D$84,0))</f>
        <v>1</v>
      </c>
    </row>
    <row r="84" customFormat="false" ht="15" hidden="false" customHeight="false" outlineLevel="0" collapsed="false">
      <c r="A84" s="16" t="str">
        <f aca="false">IF('Exercise Library'!B63="","", 'Exercise Library'!B63)</f>
        <v>Echo Bike</v>
      </c>
      <c r="B84" s="16" t="str">
        <f aca="false">IF(A84="","", 'Exercise Library'!C63)</f>
        <v>Monostructural</v>
      </c>
      <c r="C84" s="16" t="n">
        <f aca="false">IF(A84="","", 'Exercise Library'!D63)</f>
        <v>0</v>
      </c>
      <c r="D84" s="17" t="n">
        <f aca="false">IF(A84="","",IFERROR(VLOOKUP(B84,$A$6:$C$19,3,FALSE()),0)+0.5*IFERROR(VLOOKUP(C84,$A$6:$C$19,3,FALSE()),0))</f>
        <v>0.0714285714285714</v>
      </c>
      <c r="E84" s="16" t="n">
        <f aca="false">IF(A84="","",RANK(D84,$D$25:$D$84,0))</f>
        <v>36</v>
      </c>
    </row>
  </sheetData>
  <mergeCells count="4">
    <mergeCell ref="A1:H1"/>
    <mergeCell ref="A2:H2"/>
    <mergeCell ref="A4:C4"/>
    <mergeCell ref="A23:E23"/>
  </mergeCells>
  <conditionalFormatting sqref="E25:E84">
    <cfRule type="cellIs" priority="2" operator="lessThanOrEqual" aboveAverage="0" equalAverage="0" bottom="0" percent="0" rank="0" text="" dxfId="5">
      <formula>5</formula>
    </cfRule>
    <cfRule type="cellIs" priority="3" operator="between" aboveAverage="0" equalAverage="0" bottom="0" percent="0" rank="0" text="" dxfId="6">
      <formula>6</formula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22"/>
    <col collapsed="false" customWidth="true" hidden="false" outlineLevel="0" max="5" min="5" style="0" width="22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28" t="s">
        <v>227</v>
      </c>
    </row>
    <row r="3" customFormat="false" ht="15" hidden="false" customHeight="false" outlineLevel="0" collapsed="false">
      <c r="A3" s="3" t="s">
        <v>228</v>
      </c>
      <c r="C3" s="3" t="s">
        <v>24</v>
      </c>
      <c r="E3" s="3" t="s">
        <v>229</v>
      </c>
      <c r="G3" s="3" t="s">
        <v>230</v>
      </c>
    </row>
    <row r="4" customFormat="false" ht="15" hidden="false" customHeight="false" outlineLevel="0" collapsed="false">
      <c r="A4" s="0" t="s">
        <v>32</v>
      </c>
      <c r="C4" s="0" t="s">
        <v>33</v>
      </c>
      <c r="E4" s="0" t="s">
        <v>231</v>
      </c>
      <c r="G4" s="0" t="s">
        <v>36</v>
      </c>
    </row>
    <row r="5" customFormat="false" ht="15" hidden="false" customHeight="false" outlineLevel="0" collapsed="false">
      <c r="A5" s="0" t="s">
        <v>63</v>
      </c>
      <c r="C5" s="0" t="s">
        <v>74</v>
      </c>
      <c r="E5" s="0" t="s">
        <v>232</v>
      </c>
      <c r="G5" s="0" t="s">
        <v>58</v>
      </c>
    </row>
    <row r="6" customFormat="false" ht="15" hidden="false" customHeight="false" outlineLevel="0" collapsed="false">
      <c r="A6" s="0" t="s">
        <v>85</v>
      </c>
      <c r="C6" s="0" t="s">
        <v>68</v>
      </c>
      <c r="E6" s="0" t="s">
        <v>233</v>
      </c>
      <c r="G6" s="0" t="s">
        <v>134</v>
      </c>
    </row>
    <row r="7" customFormat="false" ht="15" hidden="false" customHeight="false" outlineLevel="0" collapsed="false">
      <c r="A7" s="0" t="s">
        <v>43</v>
      </c>
      <c r="C7" s="0" t="s">
        <v>48</v>
      </c>
      <c r="E7" s="0" t="s">
        <v>234</v>
      </c>
      <c r="G7" s="0" t="s">
        <v>49</v>
      </c>
    </row>
    <row r="8" customFormat="false" ht="15" hidden="false" customHeight="false" outlineLevel="0" collapsed="false">
      <c r="A8" s="0" t="s">
        <v>104</v>
      </c>
      <c r="C8" s="0" t="s">
        <v>71</v>
      </c>
      <c r="E8" s="0" t="s">
        <v>235</v>
      </c>
    </row>
    <row r="9" customFormat="false" ht="15" hidden="false" customHeight="false" outlineLevel="0" collapsed="false">
      <c r="A9" s="0" t="s">
        <v>93</v>
      </c>
      <c r="C9" s="0" t="s">
        <v>90</v>
      </c>
      <c r="E9" s="0" t="s">
        <v>236</v>
      </c>
    </row>
    <row r="10" customFormat="false" ht="15" hidden="false" customHeight="false" outlineLevel="0" collapsed="false">
      <c r="A10" s="0" t="s">
        <v>109</v>
      </c>
      <c r="C10" s="0" t="s">
        <v>137</v>
      </c>
      <c r="E10" s="0" t="s">
        <v>237</v>
      </c>
    </row>
    <row r="11" customFormat="false" ht="15" hidden="false" customHeight="false" outlineLevel="0" collapsed="false">
      <c r="A11" s="0" t="s">
        <v>118</v>
      </c>
      <c r="C11" s="0" t="s">
        <v>141</v>
      </c>
      <c r="E11" s="0" t="s">
        <v>238</v>
      </c>
    </row>
    <row r="12" customFormat="false" ht="15" hidden="false" customHeight="false" outlineLevel="0" collapsed="false">
      <c r="A12" s="0" t="s">
        <v>127</v>
      </c>
      <c r="C12" s="0" t="s">
        <v>143</v>
      </c>
      <c r="E12" s="0" t="s">
        <v>239</v>
      </c>
    </row>
    <row r="13" customFormat="false" ht="15" hidden="false" customHeight="false" outlineLevel="0" collapsed="false">
      <c r="A13" s="0" t="s">
        <v>132</v>
      </c>
      <c r="C13" s="0" t="s">
        <v>162</v>
      </c>
      <c r="E13" s="0" t="s">
        <v>240</v>
      </c>
    </row>
    <row r="14" customFormat="false" ht="15" hidden="false" customHeight="false" outlineLevel="0" collapsed="false">
      <c r="A14" s="0" t="s">
        <v>52</v>
      </c>
      <c r="C14" s="0" t="s">
        <v>146</v>
      </c>
    </row>
    <row r="15" customFormat="false" ht="15" hidden="false" customHeight="false" outlineLevel="0" collapsed="false">
      <c r="A15" s="0" t="s">
        <v>155</v>
      </c>
      <c r="C15" s="0" t="s">
        <v>56</v>
      </c>
    </row>
    <row r="16" customFormat="false" ht="15" hidden="false" customHeight="false" outlineLevel="0" collapsed="false">
      <c r="A16" s="0" t="s">
        <v>165</v>
      </c>
      <c r="C16" s="0" t="s">
        <v>176</v>
      </c>
    </row>
    <row r="17" customFormat="false" ht="15" hidden="false" customHeight="false" outlineLevel="0" collapsed="false">
      <c r="A17" s="0" t="s">
        <v>217</v>
      </c>
      <c r="C17" s="0" t="s">
        <v>133</v>
      </c>
    </row>
    <row r="20" customFormat="false" ht="15" hidden="false" customHeight="false" outlineLevel="0" collapsed="false">
      <c r="A20" s="3" t="s">
        <v>241</v>
      </c>
    </row>
    <row r="21" customFormat="false" ht="15" hidden="false" customHeight="false" outlineLevel="0" collapsed="false">
      <c r="A21" s="29" t="s">
        <v>242</v>
      </c>
      <c r="B21" s="29"/>
      <c r="C21" s="29"/>
      <c r="D21" s="29"/>
      <c r="E21" s="29"/>
      <c r="F21" s="29"/>
      <c r="G21" s="29"/>
      <c r="H21" s="29"/>
    </row>
    <row r="22" customFormat="false" ht="15" hidden="false" customHeight="false" outlineLevel="0" collapsed="false">
      <c r="A22" s="29" t="s">
        <v>243</v>
      </c>
      <c r="B22" s="29"/>
      <c r="C22" s="29"/>
      <c r="D22" s="29"/>
      <c r="E22" s="29"/>
      <c r="F22" s="29"/>
      <c r="G22" s="29"/>
      <c r="H22" s="29"/>
    </row>
    <row r="23" customFormat="false" ht="15" hidden="false" customHeight="false" outlineLevel="0" collapsed="false">
      <c r="A23" s="29" t="s">
        <v>244</v>
      </c>
      <c r="B23" s="29"/>
      <c r="C23" s="29"/>
      <c r="D23" s="29"/>
      <c r="E23" s="29"/>
      <c r="F23" s="29"/>
      <c r="G23" s="29"/>
      <c r="H23" s="29"/>
    </row>
    <row r="24" customFormat="false" ht="15" hidden="false" customHeight="false" outlineLevel="0" collapsed="false">
      <c r="A24" s="29" t="s">
        <v>245</v>
      </c>
      <c r="B24" s="29"/>
      <c r="C24" s="29"/>
      <c r="D24" s="29"/>
      <c r="E24" s="29"/>
      <c r="F24" s="29"/>
      <c r="G24" s="29"/>
      <c r="H24" s="29"/>
    </row>
    <row r="25" customFormat="false" ht="15" hidden="false" customHeight="false" outlineLevel="0" collapsed="false">
      <c r="A25" s="29" t="s">
        <v>246</v>
      </c>
      <c r="B25" s="29"/>
      <c r="C25" s="29"/>
      <c r="D25" s="29"/>
      <c r="E25" s="29"/>
      <c r="F25" s="29"/>
      <c r="G25" s="29"/>
      <c r="H25" s="29"/>
    </row>
    <row r="26" customFormat="false" ht="15" hidden="false" customHeight="false" outlineLevel="0" collapsed="false">
      <c r="A26" s="29" t="s">
        <v>247</v>
      </c>
      <c r="B26" s="29"/>
      <c r="C26" s="29"/>
      <c r="D26" s="29"/>
      <c r="E26" s="29"/>
      <c r="F26" s="29"/>
      <c r="G26" s="29"/>
      <c r="H26" s="29"/>
    </row>
    <row r="27" customFormat="false" ht="15" hidden="false" customHeight="false" outlineLevel="0" collapsed="false">
      <c r="A27" s="29" t="s">
        <v>248</v>
      </c>
      <c r="B27" s="29"/>
      <c r="C27" s="29"/>
      <c r="D27" s="29"/>
      <c r="E27" s="29"/>
      <c r="F27" s="29"/>
      <c r="G27" s="29"/>
      <c r="H27" s="29"/>
    </row>
  </sheetData>
  <mergeCells count="7">
    <mergeCell ref="A21:H21"/>
    <mergeCell ref="A22:H22"/>
    <mergeCell ref="A23:H23"/>
    <mergeCell ref="A24:H24"/>
    <mergeCell ref="A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2026-03-04T18:54:44Z</dcterms:created>
  <dc:creator>openpyxl</dc:creator>
  <dc:description/>
  <dc:language>en-US</dc:language>
  <cp:lastModifiedBy/>
  <dcterms:modified xsi:type="dcterms:W3CDTF">2026-03-04T18:54:44Z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